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orn\Downloads\ENTREGA_03_Pruebas Finales\ENTREGA_03_Pruebas Finales\02_MATRICES_Y_CASOS_PRUEBA\"/>
    </mc:Choice>
  </mc:AlternateContent>
  <xr:revisionPtr revIDLastSave="0" documentId="13_ncr:1_{510AFA2F-C611-4ACB-8027-2B08774A03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 Final" sheetId="1" r:id="rId1"/>
    <sheet name="Log de Ejecución" sheetId="2" r:id="rId2"/>
    <sheet name="Resumen de Ejecución" sheetId="3" r:id="rId3"/>
    <sheet name="TSR" sheetId="4" r:id="rId4"/>
    <sheet name="Bug Tracker" sheetId="5" r:id="rId5"/>
    <sheet name="Fichas de Defectos" sheetId="6" r:id="rId6"/>
    <sheet name="Evidencia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B21" i="3"/>
  <c r="D20" i="3"/>
  <c r="B20" i="3"/>
  <c r="D19" i="3"/>
  <c r="C8" i="4" s="1"/>
  <c r="D8" i="4" s="1"/>
  <c r="B19" i="3"/>
  <c r="D18" i="3"/>
  <c r="B18" i="3"/>
  <c r="B22" i="3" s="1"/>
  <c r="D10" i="3"/>
  <c r="B10" i="3"/>
  <c r="D8" i="3"/>
  <c r="B8" i="3"/>
  <c r="B7" i="3"/>
  <c r="B6" i="3"/>
  <c r="B5" i="3"/>
  <c r="B4" i="3"/>
  <c r="O41" i="2"/>
  <c r="L41" i="1" s="1"/>
  <c r="O40" i="2"/>
  <c r="L40" i="1" s="1"/>
  <c r="O39" i="2"/>
  <c r="L39" i="1" s="1"/>
  <c r="O38" i="2"/>
  <c r="L38" i="1" s="1"/>
  <c r="O35" i="2"/>
  <c r="L35" i="1" s="1"/>
  <c r="O34" i="2"/>
  <c r="L34" i="1" s="1"/>
  <c r="O33" i="2"/>
  <c r="L33" i="1" s="1"/>
  <c r="O32" i="2"/>
  <c r="L32" i="1" s="1"/>
  <c r="O31" i="2"/>
  <c r="L31" i="1" s="1"/>
  <c r="O30" i="2"/>
  <c r="L30" i="1" s="1"/>
  <c r="O29" i="2"/>
  <c r="L29" i="1" s="1"/>
  <c r="O28" i="2"/>
  <c r="L28" i="1" s="1"/>
  <c r="O27" i="2"/>
  <c r="L27" i="1" s="1"/>
  <c r="O26" i="2"/>
  <c r="L26" i="1" s="1"/>
  <c r="O24" i="2"/>
  <c r="L24" i="1" s="1"/>
  <c r="O23" i="2"/>
  <c r="L23" i="1" s="1"/>
  <c r="O22" i="2"/>
  <c r="L22" i="1" s="1"/>
  <c r="O21" i="2"/>
  <c r="L21" i="1" s="1"/>
  <c r="O20" i="2"/>
  <c r="O18" i="2"/>
  <c r="O17" i="2"/>
  <c r="O16" i="2"/>
  <c r="O15" i="2"/>
  <c r="O14" i="2"/>
  <c r="O13" i="2"/>
  <c r="O12" i="2"/>
  <c r="O10" i="2"/>
  <c r="O9" i="2"/>
  <c r="O8" i="2"/>
  <c r="O7" i="2"/>
  <c r="O5" i="2"/>
  <c r="O4" i="2"/>
  <c r="O3" i="2"/>
  <c r="O2" i="2"/>
  <c r="M41" i="1"/>
  <c r="N41" i="1" s="1"/>
  <c r="K41" i="1"/>
  <c r="M40" i="1"/>
  <c r="N40" i="1" s="1"/>
  <c r="K40" i="1"/>
  <c r="M39" i="1"/>
  <c r="N39" i="1" s="1"/>
  <c r="K39" i="1"/>
  <c r="M38" i="1"/>
  <c r="N38" i="1" s="1"/>
  <c r="K38" i="1"/>
  <c r="M37" i="1"/>
  <c r="N37" i="1" s="1"/>
  <c r="L37" i="1"/>
  <c r="K37" i="1"/>
  <c r="M36" i="1"/>
  <c r="N36" i="1" s="1"/>
  <c r="L36" i="1"/>
  <c r="K36" i="1"/>
  <c r="M35" i="1"/>
  <c r="N35" i="1" s="1"/>
  <c r="K35" i="1"/>
  <c r="M34" i="1"/>
  <c r="N34" i="1" s="1"/>
  <c r="K34" i="1"/>
  <c r="M33" i="1"/>
  <c r="N33" i="1" s="1"/>
  <c r="K33" i="1"/>
  <c r="M32" i="1"/>
  <c r="N32" i="1" s="1"/>
  <c r="K32" i="1"/>
  <c r="M31" i="1"/>
  <c r="N31" i="1" s="1"/>
  <c r="K31" i="1"/>
  <c r="M30" i="1"/>
  <c r="N30" i="1" s="1"/>
  <c r="K30" i="1"/>
  <c r="M29" i="1"/>
  <c r="N29" i="1" s="1"/>
  <c r="K29" i="1"/>
  <c r="M28" i="1"/>
  <c r="N28" i="1" s="1"/>
  <c r="K28" i="1"/>
  <c r="M27" i="1"/>
  <c r="N27" i="1" s="1"/>
  <c r="K27" i="1"/>
  <c r="M26" i="1"/>
  <c r="N26" i="1" s="1"/>
  <c r="K26" i="1"/>
  <c r="M25" i="1"/>
  <c r="N25" i="1" s="1"/>
  <c r="L25" i="1"/>
  <c r="K25" i="1"/>
  <c r="M24" i="1"/>
  <c r="N24" i="1" s="1"/>
  <c r="K24" i="1"/>
  <c r="M23" i="1"/>
  <c r="N23" i="1" s="1"/>
  <c r="K23" i="1"/>
  <c r="M22" i="1"/>
  <c r="N22" i="1" s="1"/>
  <c r="K22" i="1"/>
  <c r="M21" i="1"/>
  <c r="N21" i="1" s="1"/>
  <c r="K21" i="1"/>
  <c r="M20" i="1"/>
  <c r="N20" i="1" s="1"/>
  <c r="K20" i="1"/>
  <c r="M19" i="1"/>
  <c r="N19" i="1" s="1"/>
  <c r="L19" i="1"/>
  <c r="K19" i="1"/>
  <c r="M18" i="1"/>
  <c r="N18" i="1" s="1"/>
  <c r="L18" i="1"/>
  <c r="K18" i="1"/>
  <c r="M17" i="1"/>
  <c r="N17" i="1" s="1"/>
  <c r="L17" i="1"/>
  <c r="K17" i="1"/>
  <c r="M16" i="1"/>
  <c r="N16" i="1" s="1"/>
  <c r="L16" i="1"/>
  <c r="K16" i="1"/>
  <c r="M15" i="1"/>
  <c r="N15" i="1" s="1"/>
  <c r="L15" i="1"/>
  <c r="K15" i="1"/>
  <c r="N14" i="1"/>
  <c r="M14" i="1"/>
  <c r="L14" i="1"/>
  <c r="K14" i="1"/>
  <c r="M13" i="1"/>
  <c r="N13" i="1" s="1"/>
  <c r="L13" i="1"/>
  <c r="K13" i="1"/>
  <c r="M12" i="1"/>
  <c r="N12" i="1" s="1"/>
  <c r="L12" i="1"/>
  <c r="K12" i="1"/>
  <c r="M11" i="1"/>
  <c r="N11" i="1" s="1"/>
  <c r="L11" i="1"/>
  <c r="K11" i="1"/>
  <c r="M10" i="1"/>
  <c r="N10" i="1" s="1"/>
  <c r="L10" i="1"/>
  <c r="K10" i="1"/>
  <c r="M9" i="1"/>
  <c r="N9" i="1" s="1"/>
  <c r="L9" i="1"/>
  <c r="K9" i="1"/>
  <c r="M8" i="1"/>
  <c r="N8" i="1" s="1"/>
  <c r="L8" i="1"/>
  <c r="K8" i="1"/>
  <c r="M7" i="1"/>
  <c r="N7" i="1" s="1"/>
  <c r="L7" i="1"/>
  <c r="K7" i="1"/>
  <c r="M6" i="1"/>
  <c r="N6" i="1" s="1"/>
  <c r="L6" i="1"/>
  <c r="K6" i="1"/>
  <c r="M5" i="1"/>
  <c r="N5" i="1" s="1"/>
  <c r="L5" i="1"/>
  <c r="K5" i="1"/>
  <c r="M4" i="1"/>
  <c r="N4" i="1" s="1"/>
  <c r="L4" i="1"/>
  <c r="K4" i="1"/>
  <c r="M3" i="1"/>
  <c r="N3" i="1" s="1"/>
  <c r="L3" i="1"/>
  <c r="K3" i="1"/>
  <c r="M2" i="1"/>
  <c r="N2" i="1" s="1"/>
  <c r="L2" i="1"/>
  <c r="K2" i="1"/>
  <c r="C5" i="4"/>
  <c r="D5" i="4" s="1"/>
  <c r="C4" i="4"/>
  <c r="D4" i="4" s="1"/>
  <c r="B12" i="3" l="1"/>
  <c r="D22" i="3"/>
  <c r="C7" i="4"/>
  <c r="D7" i="4" s="1"/>
  <c r="D11" i="3"/>
  <c r="C6" i="3"/>
  <c r="C7" i="3"/>
  <c r="C5" i="3"/>
  <c r="C4" i="3"/>
  <c r="C8" i="3" s="1"/>
  <c r="B11" i="3"/>
  <c r="D5" i="3"/>
  <c r="E5" i="3" s="1"/>
  <c r="D4" i="3"/>
  <c r="E4" i="3" s="1"/>
  <c r="D6" i="3"/>
  <c r="E6" i="3" s="1"/>
  <c r="L20" i="1"/>
  <c r="D7" i="3"/>
  <c r="E7" i="3" s="1"/>
  <c r="B23" i="3" l="1"/>
  <c r="B14" i="3"/>
  <c r="D15" i="3"/>
  <c r="B13" i="3"/>
  <c r="B15" i="3"/>
  <c r="D12" i="3"/>
  <c r="E8" i="3"/>
  <c r="D14" i="3" l="1"/>
  <c r="C9" i="4" s="1"/>
  <c r="D9" i="4" s="1"/>
  <c r="D13" i="3"/>
  <c r="C6" i="4" s="1"/>
  <c r="D6" i="4" s="1"/>
</calcChain>
</file>

<file path=xl/sharedStrings.xml><?xml version="1.0" encoding="utf-8"?>
<sst xmlns="http://schemas.openxmlformats.org/spreadsheetml/2006/main" count="1603" uniqueCount="672">
  <si>
    <t>FORMATO 5 – EVALUACIÓN DE CRITERIOS DE SALIDA (TSR)</t>
  </si>
  <si>
    <t>Métrica de Calidad</t>
  </si>
  <si>
    <t>Objetivo Planificado (MTP)</t>
  </si>
  <si>
    <t>Valor Final Obtenido</t>
  </si>
  <si>
    <t>Estado Criterio</t>
  </si>
  <si>
    <t>Especialista QA Evaluador</t>
  </si>
  <si>
    <t>Observaciones</t>
  </si>
  <si>
    <t>Cobertura de Requerimientos</t>
  </si>
  <si>
    <t>≥ 90 % de REQ001–REQ005 con al menos un caso ejecutado (MTP 8.11)</t>
  </si>
  <si>
    <t>Samuel Canastuj</t>
  </si>
  <si>
    <t>Los 5 requerimientos tienen casos ejecutados y registrados en la RTM Final.</t>
  </si>
  <si>
    <t>Porcentaje de Ejecución – casos de riesgo Alto/Crítico</t>
  </si>
  <si>
    <t>100 % de los casos de riesgo Alto/Crítico (R-01 a R-05, R-08) ejecutados (MTP 8.11)</t>
  </si>
  <si>
    <t>Dennis Cornel</t>
  </si>
  <si>
    <t>Casos de REQ001-A, REQ002 y REQ003 dentro del alcance (los 2 casos de tara quedan fuera del alcance de esta versión).</t>
  </si>
  <si>
    <t>Porcentaje de Ejecución – total en alcance</t>
  </si>
  <si>
    <t>100 % de los casos planificados en alcance</t>
  </si>
  <si>
    <t>Yefferson Valenzuela</t>
  </si>
  <si>
    <t>Los 3 casos fuera de alcance (2 de tara y TC-REQ005-005 de filtros combinados) se excluyen del denominador por decisión del equipo; todos los casos en alcance se ejecutaron.</t>
  </si>
  <si>
    <t>Defectos Críticos abiertos</t>
  </si>
  <si>
    <t>0 defectos de severidad Crítica abiertos (MTP 8.11)</t>
  </si>
  <si>
    <t>No se reportaron defectos de severidad Crítica.</t>
  </si>
  <si>
    <t>Defectos Altos abiertos</t>
  </si>
  <si>
    <t>Máximo 2 defectos Altos abiertos, con plan de mitigación (MTP 8.11)</t>
  </si>
  <si>
    <t>Los 2 defectos Altos (BUG-CLI-01, BUG-PRO-01) fueron corregidos y verificados en regresión.</t>
  </si>
  <si>
    <t>Tasa de Éxito (Pass Rate) final</t>
  </si>
  <si>
    <t>≥ 90 % (referencia del formato; el MTP no define este umbral)</t>
  </si>
  <si>
    <t>Tasa del ciclo 1 antes de corregir: ver Resumen de Ejecución (columna Ciclo 1).</t>
  </si>
  <si>
    <t>La asignación de Especialista QA Evaluador es una propuesta del equipo; el veredicto GO / NO-GO se registra en el Acta (Formato 6) del documento.</t>
  </si>
  <si>
    <t>Módulo</t>
  </si>
  <si>
    <t>ID Requerimiento</t>
  </si>
  <si>
    <t>ID Condición</t>
  </si>
  <si>
    <t>Descripción de condición</t>
  </si>
  <si>
    <t>ID Caso</t>
  </si>
  <si>
    <t>Nombre del caso</t>
  </si>
  <si>
    <t>Técnica aplicada</t>
  </si>
  <si>
    <t>ID Dato</t>
  </si>
  <si>
    <t>Datos de entrada</t>
  </si>
  <si>
    <t>Resultado esperado</t>
  </si>
  <si>
    <t>Estado ciclo 1</t>
  </si>
  <si>
    <t>Estado final</t>
  </si>
  <si>
    <t>Defecto asociado</t>
  </si>
  <si>
    <t>Estado del defecto</t>
  </si>
  <si>
    <t>Observación</t>
  </si>
  <si>
    <t>REQ001</t>
  </si>
  <si>
    <t>REQ001-A</t>
  </si>
  <si>
    <t>CT-001</t>
  </si>
  <si>
    <t>Autenticación y credenciales</t>
  </si>
  <si>
    <t>TC-REQ001-001</t>
  </si>
  <si>
    <t>Inicio de sesión con credenciales válidas</t>
  </si>
  <si>
    <t>Partición de equivalencia</t>
  </si>
  <si>
    <t>TD-001</t>
  </si>
  <si>
    <t>Correo: admin.qa@example.com
Contraseña: QaSegura123
Rol: Administrador
Estado: Activo</t>
  </si>
  <si>
    <t>Autentica y permite acceso a funcionalidades autorizadas.</t>
  </si>
  <si>
    <t>TC-REQ001-002</t>
  </si>
  <si>
    <t>Inicio de sesión con contraseña incorrecta</t>
  </si>
  <si>
    <t>TD-002</t>
  </si>
  <si>
    <t>Correo: admin.qa@example.com
Contraseña: Incorrecta123
Rol: Administrador</t>
  </si>
  <si>
    <t>Rechaza autenticación, no crea sesión y bloquea módulos protegidos.</t>
  </si>
  <si>
    <t>CT-002</t>
  </si>
  <si>
    <t>Permisos según rol</t>
  </si>
  <si>
    <t>TC-REQ001-003</t>
  </si>
  <si>
    <t>Acceso permitido según rol de usuario</t>
  </si>
  <si>
    <t>Tabla de decisión</t>
  </si>
  <si>
    <t>TD-003</t>
  </si>
  <si>
    <t>Correo: admin.qa@example.com
Rol: Administrador
Operación: Consultar usuarios
Permiso: Permitido</t>
  </si>
  <si>
    <t>Autoriza operación y muestra listado según permisos oficiales.</t>
  </si>
  <si>
    <t>Aclaración de diseño: Confirmar matriz de permisos oficial.</t>
  </si>
  <si>
    <t>TC-REQ001-004</t>
  </si>
  <si>
    <t>Acceso denegado a módulo no autorizado</t>
  </si>
  <si>
    <t>TD-004</t>
  </si>
  <si>
    <t>Correo: piloto.qa@example.com
Rol: Piloto
Operación: Consultar usuarios
Permiso: Denegado</t>
  </si>
  <si>
    <t>API responde HTTP 403 sin revelar datos administrativos.</t>
  </si>
  <si>
    <t>REQ001-B</t>
  </si>
  <si>
    <t>CT-003</t>
  </si>
  <si>
    <t>Duplicidad en catálogos</t>
  </si>
  <si>
    <t>TC-REQ001-005</t>
  </si>
  <si>
    <t>Registro duplicado en catálogo de clientes</t>
  </si>
  <si>
    <t>TD-005</t>
  </si>
  <si>
    <t>Nombre: Cliente QA Duplicado
NIT: 1234567-8
Registro previo: mismo NIT</t>
  </si>
  <si>
    <t>Rechaza duplicado; conserva un solo registro sin modificar original.</t>
  </si>
  <si>
    <t>Falló en ciclo 1 (BUG-CLI-01); corregido y verificado en regresión el 20/10/2026.</t>
  </si>
  <si>
    <t>CT-011</t>
  </si>
  <si>
    <t>Longitud mínima de contraseña</t>
  </si>
  <si>
    <t>TC-REQ001-006</t>
  </si>
  <si>
    <t>Contraseña inferior a longitud mínima</t>
  </si>
  <si>
    <t>Análisis de valores límite</t>
  </si>
  <si>
    <t>TD-006</t>
  </si>
  <si>
    <t>Contraseña: Ab123
Longitud: 5
Mínimo implementado: 6</t>
  </si>
  <si>
    <t>Rechaza contraseña de cinco caracteres y no la guarda.</t>
  </si>
  <si>
    <t>Aclaración de diseño: Confirmar política de contraseña.</t>
  </si>
  <si>
    <t>TC-REQ001-007</t>
  </si>
  <si>
    <t>Contraseña igual a longitud mínima</t>
  </si>
  <si>
    <t>TD-007</t>
  </si>
  <si>
    <t>Contraseña: Ab1234
Longitud: 6
Mínimo implementado: 6</t>
  </si>
  <si>
    <t>Supera control de longitud; aceptación final depende de otras reglas.</t>
  </si>
  <si>
    <t>TC-REQ001-008</t>
  </si>
  <si>
    <t>Contraseña superior a longitud mínima</t>
  </si>
  <si>
    <t>TD-008</t>
  </si>
  <si>
    <t>Contraseña: Ab12345
Longitud: 7
Mínimo implementado: 6</t>
  </si>
  <si>
    <t>Supera control de longitud; no se rechaza exclusivamente por tener 7 caracteres.</t>
  </si>
  <si>
    <t>REQ002</t>
  </si>
  <si>
    <t>REQ002-A</t>
  </si>
  <si>
    <t>CT-004</t>
  </si>
  <si>
    <t>Cálculo de peso neto</t>
  </si>
  <si>
    <t>TC-REQ002-001</t>
  </si>
  <si>
    <t>Cálculo correcto del peso neto</t>
  </si>
  <si>
    <t>TD-009</t>
  </si>
  <si>
    <t>Lote: LOT-QA-001
Bruto: 25.00 kg
Tara: 2.00 kg
Neto: 23.00 kg</t>
  </si>
  <si>
    <t>Registra neto de 23.00 kg (25.00 − 2.00).</t>
  </si>
  <si>
    <t>Fuera del alcance de esta versión (captura de tara), por decisión del equipo.</t>
  </si>
  <si>
    <t>TC-REQ002-002</t>
  </si>
  <si>
    <t>Tara superior al peso bruto</t>
  </si>
  <si>
    <t>TD-010</t>
  </si>
  <si>
    <t>Lote: LOT-QA-002
Bruto: 20 kg
Tara: 25 kg
Neto matemático: −5 kg</t>
  </si>
  <si>
    <t>Rechazar tara superior al bruto; regla propuesta pendiente de confirmar.</t>
  </si>
  <si>
    <t>Falló en ciclo 1 (BUG-REC-01); corregido y verificado en regresión el 20/10/2026.</t>
  </si>
  <si>
    <t>REQ002-B</t>
  </si>
  <si>
    <t>CT-005</t>
  </si>
  <si>
    <t>Umbral de maduración Brix</t>
  </si>
  <si>
    <t>TC-REQ002-003</t>
  </si>
  <si>
    <t>Maduración inferior al umbral</t>
  </si>
  <si>
    <t>TD-011</t>
  </si>
  <si>
    <t>Sublote: SUB-QA-001
Medición: 21 Brix
Umbral: 22 Brix</t>
  </si>
  <si>
    <t>No promociona automáticamente a Listo para Producción.</t>
  </si>
  <si>
    <t>TC-REQ002-004</t>
  </si>
  <si>
    <t>Maduración igual al umbral</t>
  </si>
  <si>
    <t>TD-012</t>
  </si>
  <si>
    <t>Sublote: SUB-QA-002
Medición: 22 Brix
Umbral: 22 Brix</t>
  </si>
  <si>
    <t>Promociona si se satisfacen las demás condiciones.</t>
  </si>
  <si>
    <t>Aclaración de diseño: Conciliar umbral configurable con rango documentado.</t>
  </si>
  <si>
    <t>TC-REQ002-005</t>
  </si>
  <si>
    <t>Maduración superior al umbral</t>
  </si>
  <si>
    <t>TD-013</t>
  </si>
  <si>
    <t>Sublote: SUB-QA-003
Medición: 23 Brix
Umbral: 22 Brix</t>
  </si>
  <si>
    <t>Promociona al superar umbral, sujeto a demás condiciones.</t>
  </si>
  <si>
    <t>CT-012</t>
  </si>
  <si>
    <t>Acumulación de pesos por cajas</t>
  </si>
  <si>
    <t>TC-REQ002-006</t>
  </si>
  <si>
    <t>Acumulación de peso neto por cajas</t>
  </si>
  <si>
    <t>TD-014</t>
  </si>
  <si>
    <t>Lote: LOT-QA-003
C1: 20−2=18 kg
C2: 25−2=23 kg
C3: 30−3=27 kg
Total: 68 kg</t>
  </si>
  <si>
    <t>Netos 18, 23 y 27 kg; acumulado neto 68 kg y bruto 75 kg.</t>
  </si>
  <si>
    <t>CT-013</t>
  </si>
  <si>
    <t>Transición de maduración</t>
  </si>
  <si>
    <t>TC-REQ002-007</t>
  </si>
  <si>
    <t>Transición a Listo para Producción</t>
  </si>
  <si>
    <t>Transición de estados</t>
  </si>
  <si>
    <t>TD-015</t>
  </si>
  <si>
    <t>Sublote: SUB-QA-004
Estado inicial: En Maduración (por confirmar)
Mediciones: 21 y 22 Brix</t>
  </si>
  <si>
    <t>No promociona con 21; promociona con 22 si corresponde. Confirmar nomenclatura.</t>
  </si>
  <si>
    <t>Aclaración de diseño: Confirmar estados y condiciones de promoción.</t>
  </si>
  <si>
    <t>TC-REQ002-008</t>
  </si>
  <si>
    <t>Prevención de promoción prematura</t>
  </si>
  <si>
    <t>TD-016</t>
  </si>
  <si>
    <t>Sublote: SUB-QA-005
Medición: 20 Brix
Umbral: 22 Brix</t>
  </si>
  <si>
    <t>No cambia automáticamente a Listo para Producción.</t>
  </si>
  <si>
    <t>REQ003</t>
  </si>
  <si>
    <t>REQ003-A</t>
  </si>
  <si>
    <t>CT-006</t>
  </si>
  <si>
    <t>Registro de etapas y mermas</t>
  </si>
  <si>
    <t>TC-REQ003-001</t>
  </si>
  <si>
    <t>Registro correcto de etapa de producción</t>
  </si>
  <si>
    <t>TD-017</t>
  </si>
  <si>
    <t>Lote: LOT-QA-P001
Etapa: Pelado
Entrada: 100 kg
Salida: 90 kg
Merma: 10 kg
Responsable: OPER-QA-01</t>
  </si>
  <si>
    <t>Registra etapa, pesos, merma y personal responsable.</t>
  </si>
  <si>
    <t>TC-REQ003-002</t>
  </si>
  <si>
    <t>Merma superior al peso de entrada</t>
  </si>
  <si>
    <t>TD-018</t>
  </si>
  <si>
    <t>Lote: LOT-QA-P002
Etapa: Corte
Entrada: 50 kg
Salida: 0 kg
Merma: 60 kg</t>
  </si>
  <si>
    <t>Rechazar inconsistencia física; regla pendiente de validación de negocio.</t>
  </si>
  <si>
    <t>Falló en ciclo 1 (BUG-PRO-01); corregido y verificado en regresión el 20/10/2026.</t>
  </si>
  <si>
    <t>REQ003-B</t>
  </si>
  <si>
    <t>CT-007</t>
  </si>
  <si>
    <t>Balance de masa y cierre</t>
  </si>
  <si>
    <t>TC-REQ003-003</t>
  </si>
  <si>
    <t>Cierre con balance correcto</t>
  </si>
  <si>
    <t>TD-019</t>
  </si>
  <si>
    <t>Proceso: PROD-QA-003
Entrada: 100 kg
Merma: 15 kg
Producido: 85 kg
Diferencia: 0</t>
  </si>
  <si>
    <t>Permite cierre: 100 − 15 = 85 kg.</t>
  </si>
  <si>
    <t>TC-REQ003-004</t>
  </si>
  <si>
    <t>Cierre con diferencia sin justificación</t>
  </si>
  <si>
    <t>TD-020</t>
  </si>
  <si>
    <t>Proceso: PROD-QA-004
Entrada: 100 kg
Merma: 10 kg
Producido: 85 kg
Diferencia: 5 kg
Justificación: Vacía</t>
  </si>
  <si>
    <t>Rechaza cierre; proceso permanece abierto.</t>
  </si>
  <si>
    <t>TC-REQ003-005</t>
  </si>
  <si>
    <t>Cierre con diferencia justificada</t>
  </si>
  <si>
    <t>TD-021</t>
  </si>
  <si>
    <t>Proceso: PROD-QA-005
Entrada: 100 kg
Merma: 10 kg
Producido: 85 kg
Diferencia: 5 kg
Justificación: Diferencia en pesaje manual.</t>
  </si>
  <si>
    <t>Ruta alternativa permite cierre con justificación explícita; autorización pendiente de confirmar.</t>
  </si>
  <si>
    <t>Aclaración de diseño: Confirmar autorización para justificar diferencia.</t>
  </si>
  <si>
    <t>CT-015</t>
  </si>
  <si>
    <t>Diferencia mínima de peso</t>
  </si>
  <si>
    <t>TC-REQ003-006</t>
  </si>
  <si>
    <t>Balance con diferencia mínima</t>
  </si>
  <si>
    <t>TD-022</t>
  </si>
  <si>
    <t>Proceso: PROD-QA-006
Entrada: 100.00 kg
Merma: 10.00 kg
Producido: 89.99 kg
Diferencia: 0.01 kg</t>
  </si>
  <si>
    <t>Si no existe tolerancia, rechaza cierre; tolerancias pendientes de confirmar.</t>
  </si>
  <si>
    <t>Aclaración de diseño: Confirmar tolerancia y precisión del balance.</t>
  </si>
  <si>
    <t>CT-014</t>
  </si>
  <si>
    <t>Merma igual a peso de entrada</t>
  </si>
  <si>
    <t>TC-REQ003-007</t>
  </si>
  <si>
    <t>Merma igual al peso de entrada</t>
  </si>
  <si>
    <t>TD-023</t>
  </si>
  <si>
    <t>Lote: LOT-QA-P007
Etapa: Corte
Entrada: 50 kg
Merma: 50 kg
Salida: 0 kg</t>
  </si>
  <si>
    <t>No produce negativos ni errores; aceptación del rendimiento 0% por confirmar.</t>
  </si>
  <si>
    <t>Aclaración de diseño: Confirmar tratamiento de rendimiento cero.</t>
  </si>
  <si>
    <t>CT-016</t>
  </si>
  <si>
    <t>Justificación vacía</t>
  </si>
  <si>
    <t>TC-REQ003-008</t>
  </si>
  <si>
    <t>Justificación compuesta solo por espacios</t>
  </si>
  <si>
    <t>TD-024</t>
  </si>
  <si>
    <t>Proceso: PROD-QA-008
Entrada: 200 kg
Merma: 20 kg
Producido: 175 kg
Diferencia: 5 kg
Justificación: "   "</t>
  </si>
  <si>
    <t>Trata espacios como vacío y rechaza cierre; regla propuesta por confirmar.</t>
  </si>
  <si>
    <t>Falló en ciclo 1 (BUG-PRO-02); corregido y verificado en regresión el 20/10/2026.</t>
  </si>
  <si>
    <t>REQ004</t>
  </si>
  <si>
    <t>REQ004-A</t>
  </si>
  <si>
    <t>CT-008</t>
  </si>
  <si>
    <t>Disponibilidad de vehículo y piloto</t>
  </si>
  <si>
    <t>TC-REQ004-001</t>
  </si>
  <si>
    <t>Ruta con vehículo y piloto disponibles</t>
  </si>
  <si>
    <t>TD-025</t>
  </si>
  <si>
    <t>Ruta: RUT-QA-001
Pedido: PED-QA-001
Vehículo: VEH-QA-01 (Disponible)
Piloto: PIL-QA-01 (sin ruta)
Fecha: 2026-10-12</t>
  </si>
  <si>
    <t>Crea ruta con pedido, vehículo y piloto asociados.</t>
  </si>
  <si>
    <t>TC-REQ004-002</t>
  </si>
  <si>
    <t>Rechazo de vehículo no disponible</t>
  </si>
  <si>
    <t>TD-026</t>
  </si>
  <si>
    <t>Ruta: RUT-QA-002
Pedido: PED-QA-002
Vehículo: VEH-QA-02 (No disponible)
Piloto: PIL-QA-02</t>
  </si>
  <si>
    <t>Rechaza asignación y no crea ruta activa.</t>
  </si>
  <si>
    <t>REQ004-B</t>
  </si>
  <si>
    <t>CT-009</t>
  </si>
  <si>
    <t>Kilometraje y devoluciones</t>
  </si>
  <si>
    <t>TC-REQ004-003</t>
  </si>
  <si>
    <t>Kilometraje de llegada válido</t>
  </si>
  <si>
    <t>TD-027</t>
  </si>
  <si>
    <t>Ruta: RUT-QA-003
Salida: 15000 km
Llegada: 15125 km
Recorrido: 125 km</t>
  </si>
  <si>
    <t>Acepta llegada y registra recorrido de 125 km.</t>
  </si>
  <si>
    <t>TC-REQ004-004</t>
  </si>
  <si>
    <t>Kilometraje de llegada igual a salida</t>
  </si>
  <si>
    <t>TD-028</t>
  </si>
  <si>
    <t>Ruta: RUT-QA-004
Salida: 20000 km
Llegada: 20000 km
Diferencia: 0</t>
  </si>
  <si>
    <t>Rechaza llegada porque debe ser estrictamente mayor.</t>
  </si>
  <si>
    <t>CT-017</t>
  </si>
  <si>
    <t>Doble asignación de piloto</t>
  </si>
  <si>
    <t>TC-REQ004-005</t>
  </si>
  <si>
    <t>Piloto con otra ruta activa</t>
  </si>
  <si>
    <t>TD-029</t>
  </si>
  <si>
    <t>Ruta existente: RUT-QA-005A
Nueva: RUT-QA-005B
Piloto: PIL-QA-03 (ocupado)
Vehículo: VEH-QA-03</t>
  </si>
  <si>
    <t>Impide segunda ruta activa para el mismo piloto.</t>
  </si>
  <si>
    <t>CT-018</t>
  </si>
  <si>
    <t>Kilometraje inferior a salida</t>
  </si>
  <si>
    <t>TC-REQ004-006</t>
  </si>
  <si>
    <t>Kilometraje de llegada inferior</t>
  </si>
  <si>
    <t>TD-030</t>
  </si>
  <si>
    <t>Ruta: RUT-QA-006
Salida: 20000 km
Llegada: 19999 km
Diferencia: −1 km</t>
  </si>
  <si>
    <t>Rechaza llegada y no almacena distancia negativa.</t>
  </si>
  <si>
    <t>CT-019</t>
  </si>
  <si>
    <t>Recepción y resolución de devoluciones</t>
  </si>
  <si>
    <t>TC-REQ004-007</t>
  </si>
  <si>
    <t>Devolución con recepción física</t>
  </si>
  <si>
    <t>TD-031</t>
  </si>
  <si>
    <t>Ruta: RUT-QA-007
Producto: PROD-QA-01
Cantidad: 5
Recepción: Confirmada
Resolución: Pendiente</t>
  </si>
  <si>
    <t>Registra recepción y trazabilidad; resolución pendiente. Nombre del estado por confirmar.</t>
  </si>
  <si>
    <t>Aclaración de diseño: Conciliar estados Devuelto / Con Devolución.</t>
  </si>
  <si>
    <t>TC-REQ004-008</t>
  </si>
  <si>
    <t>Resolución sin recepción física</t>
  </si>
  <si>
    <t>TD-032</t>
  </si>
  <si>
    <t>Devolución: DEV-QA-008
Producto: PROD-QA-02
Cantidad: 8
Recepción: No confirmada
Resolución: Reingreso</t>
  </si>
  <si>
    <t>Impide reingreso y no incrementa inventario.</t>
  </si>
  <si>
    <t>Aclaración de diseño: Confirmar reglas de resolución de devolución.</t>
  </si>
  <si>
    <t>REQ005</t>
  </si>
  <si>
    <t>CT-010</t>
  </si>
  <si>
    <t>Consulta y exportación de reportes</t>
  </si>
  <si>
    <t>TC-REQ005-001</t>
  </si>
  <si>
    <t>Consulta con filtro de fechas</t>
  </si>
  <si>
    <t>TD-033</t>
  </si>
  <si>
    <t>Reporte: Producción
Inicio: 2026-10-01
Fin: 2026-10-07
Dentro: PROD-R01, PROD-R02
Fuera: PROD-R03</t>
  </si>
  <si>
    <t>Incluye R01 y R02; excluye R03.</t>
  </si>
  <si>
    <t>TC-REQ005-002</t>
  </si>
  <si>
    <t>Exportación PDF sin pérdida</t>
  </si>
  <si>
    <t>TD-034</t>
  </si>
  <si>
    <t>Reporte: Producción
Inicio: 2026-10-01
Fin: 2026-10-07
Registros: 2
Total: 150 kg
Formato: PDF</t>
  </si>
  <si>
    <t>PDF conserva dos registros y total 150 kg.</t>
  </si>
  <si>
    <t>TC-REQ005-003</t>
  </si>
  <si>
    <t>Exportación Excel sin pérdida</t>
  </si>
  <si>
    <t>TD-035</t>
  </si>
  <si>
    <t>Registros: PROD-R01 (100 kg), PROD-R02 (50 kg)
Total: 150 kg
Formato: Excel</t>
  </si>
  <si>
    <t>Excel conserva filas, cantidades y total de 150 kg.</t>
  </si>
  <si>
    <t>Falló en ciclo 1 (BUG-REP-01); corregido y verificado en regresión el 20/10/2026.</t>
  </si>
  <si>
    <t>CT-020</t>
  </si>
  <si>
    <t>Intervalos de fecha</t>
  </si>
  <si>
    <t>TC-REQ005-004</t>
  </si>
  <si>
    <t>Intervalo de fechas inválido</t>
  </si>
  <si>
    <t>TD-036</t>
  </si>
  <si>
    <t>Inicio: 2026-10-15
Fin: 2026-10-10</t>
  </si>
  <si>
    <t>Rechaza intervalo invertido; regla propuesta por confirmar.</t>
  </si>
  <si>
    <t>Falló en ciclo 1 (BUG-REP-02); corregido y verificado en regresión el 20/10/2026.</t>
  </si>
  <si>
    <t>CT-021</t>
  </si>
  <si>
    <t>Combinación Pairwise de filtros</t>
  </si>
  <si>
    <t>TC-REQ005-005</t>
  </si>
  <si>
    <t>Filtros combinados de fecha, cliente y merma</t>
  </si>
  <si>
    <t>Pairwise</t>
  </si>
  <si>
    <t>TD-037</t>
  </si>
  <si>
    <t>Inicio: 2026-10-01
Fin: 2026-10-07
Cliente: CLI-QA-01
Merma: Pelado
Coincide: MER-QA-01
No coincide: MER-QA-02</t>
  </si>
  <si>
    <t>Solo muestra registros que cumplen los tres filtros. Variantes PW01–PW04 pendientes de resultados específicos.</t>
  </si>
  <si>
    <t>Fuera del alcance de esta versión: ningún reporte combina fecha, cliente y tipo de merma (decisión del equipo).</t>
  </si>
  <si>
    <t>CT-022</t>
  </si>
  <si>
    <t>Consulta sin resultados</t>
  </si>
  <si>
    <t>TC-REQ005-006</t>
  </si>
  <si>
    <t>Reporte sin registros coincidentes</t>
  </si>
  <si>
    <t>TD-038</t>
  </si>
  <si>
    <t>Inicio: 2026-09-01
Fin: 2026-09-02
Cliente: CLI-QA-99
Registros: 0</t>
  </si>
  <si>
    <t>Devuelve cero registros sin mostrar datos ajenos.</t>
  </si>
  <si>
    <t>CT-023</t>
  </si>
  <si>
    <t>Indicadores de dashboard</t>
  </si>
  <si>
    <t>TC-REQ005-007</t>
  </si>
  <si>
    <t>Consistencia de indicadores dashboard</t>
  </si>
  <si>
    <t>TD-039</t>
  </si>
  <si>
    <t>Inicio: 2026-10-01
Fin: 2026-10-07
Producción: 100 kg + 50 kg
Total supuesto: 150 kg</t>
  </si>
  <si>
    <t>Si indicador suma kg producidos, muestra 150 kg; fórmula por aprobar.</t>
  </si>
  <si>
    <t>Aclaración de diseño: Confirmar fórmula de indicador.</t>
  </si>
  <si>
    <t>TC-REQ005-008</t>
  </si>
  <si>
    <t>Fechas inicial y final iguales</t>
  </si>
  <si>
    <t>TD-040</t>
  </si>
  <si>
    <t>Inicio: 2026-10-05
Fin: 2026-10-05
Registro: PROD-R02
Cantidad: 50 kg</t>
  </si>
  <si>
    <t>Si extremos son inclusivos, muestra PROD-R02; criterio por confirmar.</t>
  </si>
  <si>
    <t>Aclaración de diseño: Confirmar inclusividad de fechas.</t>
  </si>
  <si>
    <t>ID REQ</t>
  </si>
  <si>
    <t>Nombre del Caso</t>
  </si>
  <si>
    <t>Técnica Aplicada</t>
  </si>
  <si>
    <t>Prioridad</t>
  </si>
  <si>
    <t>Precondiciones</t>
  </si>
  <si>
    <t>Pasos de Ejecución</t>
  </si>
  <si>
    <t>Datos de Entrada</t>
  </si>
  <si>
    <t>Resultado Esperado</t>
  </si>
  <si>
    <t>Estado de ejecución</t>
  </si>
  <si>
    <t>Fecha de Ejecución</t>
  </si>
  <si>
    <t>Especialista QA</t>
  </si>
  <si>
    <t>Resultado obtenido</t>
  </si>
  <si>
    <t>ID del defecto asociado</t>
  </si>
  <si>
    <t>Estado final (tras regresión)</t>
  </si>
  <si>
    <t>Fecha de re-ejecución</t>
  </si>
  <si>
    <t>Especialista QA (re-ejecución)</t>
  </si>
  <si>
    <t>Resultado de la re-ejecución</t>
  </si>
  <si>
    <t>Alta</t>
  </si>
  <si>
    <t>Administrador activo creado en QA; servicio de autenticación disponible.</t>
  </si>
  <si>
    <t>1. Abrir inicio de sesión.
2. Escribir correo.
3. Escribir contraseña.
4. Pulsar Iniciar sesión.
5. Abrir funcionalidad autorizada.</t>
  </si>
  <si>
    <t>Pass</t>
  </si>
  <si>
    <t>Se inició sesión con el administrador activo y se habilitaron sus funciones autorizadas.</t>
  </si>
  <si>
    <t>No registrado</t>
  </si>
  <si>
    <t>No requería re-ejecución (sin defecto asociado).</t>
  </si>
  <si>
    <t>Administrador activo en QA; sesión cerrada.</t>
  </si>
  <si>
    <t>1. Abrir inicio de sesión.
2. Ingresar correo registrado.
3. Ingresar contraseña errónea.
4. Pulsar Iniciar sesión.
5. Intentar entrar a módulo protegido.</t>
  </si>
  <si>
    <t>La contraseña incorrecta fue rechazada; no se creó sesión ni se permitió acceso a módulos protegidos.</t>
  </si>
  <si>
    <t>Administrador activo; permiso de gestión de usuarios confirmado en matriz de permisos.</t>
  </si>
  <si>
    <t>1. Autenticarse como Administrador.
2. Abrir Gestión de usuarios.
3. Consultar listado.
4. Revisar respuesta.</t>
  </si>
  <si>
    <t>Suponiendo autorizado al rol Administrador, se permitió consultar el listado de usuarios.</t>
  </si>
  <si>
    <t>Piloto activo; consulta administrativa clasificada como no autorizada.</t>
  </si>
  <si>
    <t>1. Autenticarse como Piloto.
2. Abrir módulo administrativo.
3. Solicitar endpoint protegido.
4. Revisar código y cuerpo de respuesta.
5. Confirmar ausencia de datos restringidos.</t>
  </si>
  <si>
    <t>Suponiendo que el rol Piloto no tiene ese permiso, la consulta devolvió HTTP 403 sin datos administrativos.</t>
  </si>
  <si>
    <t>Usuario autorizado; cliente con NIT sintético ya existe en QA.</t>
  </si>
  <si>
    <t>1. Abrir catálogo de clientes.
2. Elegir Agregar.
3. Ingresar NIT ya registrado.
4. Guardar.
5. Contar coincidencias del NIT.</t>
  </si>
  <si>
    <t>Fail</t>
  </si>
  <si>
    <t>El segundo cliente con NIT 1234567-8 se guardó (HTTP 201); el listado muestra dos clientes activos con el mismo NIT. No existe validación de unicidad.</t>
  </si>
  <si>
    <t>BUG-CLI-01</t>
  </si>
  <si>
    <t>Re-ejecutado: el segundo cliente con NIT 1234567-8 fue rechazado (HTTP 409) por API y por la pantalla; solo existe el cliente original.</t>
  </si>
  <si>
    <t>Formulario de contraseña disponible en QA.</t>
  </si>
  <si>
    <t>1. Abrir formulario.
2. Completar campos válidos.
3. Ingresar contraseña de 5 caracteres.
4. Intentar guardar.
5. Revisar validación.</t>
  </si>
  <si>
    <t>Con un mínimo supuesto de 6 caracteres, la contraseña de 5 se rechazó y no se guardó.</t>
  </si>
  <si>
    <t>Formulario disponible; otros campos válidos.</t>
  </si>
  <si>
    <t>1. Abrir formulario.
2. Completar campos.
3. Ingresar 6 caracteres.
4. Ejecutar validación.
5. Registrar respuesta.</t>
  </si>
  <si>
    <t>Con un mínimo supuesto de 6 caracteres, la contraseña de 6 superó el control de longitud.</t>
  </si>
  <si>
    <t>1. Abrir formulario.
2. Completar campos.
3. Ingresar 7 caracteres.
4. Ejecutar validación.
5. Registrar respuesta.</t>
  </si>
  <si>
    <t>Con un mínimo supuesto de 6 caracteres, la contraseña de 7 superó el control de longitud.</t>
  </si>
  <si>
    <t>Usuario autorizado; proveedor y lote sintéticos creados.</t>
  </si>
  <si>
    <t>1. Abrir Recepción.
2. Elegir lote.
3. Registrar bruto y tara.
4. Guardar.
5. Consultar neto.</t>
  </si>
  <si>
    <t>Skipped</t>
  </si>
  <si>
    <t>No ejecutado: la captura de peso bruto y tara queda fuera del alcance de esta versión por decisión del equipo; el caso se conserva para una versión futura.</t>
  </si>
  <si>
    <t>N/A – fuera de alcance</t>
  </si>
  <si>
    <t>Formulario de recepción y lote QA disponibles.</t>
  </si>
  <si>
    <t>1. Abrir recepción.
2. Elegir lote.
3. Registrar bruto 20 kg.
4. Registrar tara 25 kg.
5. Guardar.
6. Revisar que no exista neto negativo.</t>
  </si>
  <si>
    <t>No existe campo de tara; al intentar el equivalente (unidad con peso negativo de −5 kg vía POST /api/entradas-mercancia/{id}/units) la API lo aceptó (HTTP 201) y registró la unidad con peso negativo.</t>
  </si>
  <si>
    <t>BUG-REC-01</t>
  </si>
  <si>
    <t>Re-ejecutado: POST /units con peso −5 kg rechazado (HTTP 400); la unidad no se registra.</t>
  </si>
  <si>
    <t>Sublote QA; umbral 22 Brix configurado.</t>
  </si>
  <si>
    <t>1. Abrir Maduración.
2. Elegir sublote.
3. Registrar 21 Brix.
4. Guardar.
5. Revisar estado.</t>
  </si>
  <si>
    <t>Con umbral de 22 Brix, registrar 21 Brix mantuvo el sublote sin promover a producción.</t>
  </si>
  <si>
    <t>Sublote QA; umbral 22; demás condiciones satisfechas.</t>
  </si>
  <si>
    <t>1. Abrir Maduración.
2. Elegir sublote.
3. Registrar 22 Brix.
4. Guardar.
5. Revisar estado.</t>
  </si>
  <si>
    <t>Con umbral supuesto de 22 Brix y demás condiciones cumplidas, 22 Brix permitió pasar a Listo para Producción.</t>
  </si>
  <si>
    <t>1. Abrir Maduración.
2. Elegir sublote.
3. Registrar 23 Brix.
4. Guardar.
5. Revisar estado.</t>
  </si>
  <si>
    <t>Con umbral supuesto de 22 Brix y demás condiciones cumplidas, 23 Brix permitió pasar a Listo para Producción.</t>
  </si>
  <si>
    <t>Lote QA habilitado para varias cajas.</t>
  </si>
  <si>
    <t>1. Abrir recepción.
2. Registrar tres cajas.
3. Guardar.
4. Consultar netos y acumulado.</t>
  </si>
  <si>
    <t>No ejecutado: depende de la captura de peso bruto y tara por caja, fuera del alcance de esta versión por decisión del equipo; se conserva para una versión futura.</t>
  </si>
  <si>
    <t>Sublote en maduración; umbral 22; condiciones restantes satisfechas.</t>
  </si>
  <si>
    <t>1. Consultar estado inicial.
2. Registrar 21 Brix.
3. Revisar estado.
4. Registrar 22 Brix.
5. Revisar estado final.</t>
  </si>
  <si>
    <t>Suponiendo umbral de 22 Brix y demás condiciones cumplidas, no se habilitó producción con 21 Brix y sí con 22 Brix.</t>
  </si>
  <si>
    <t>Sublote en maduración; umbral 22 Brix.</t>
  </si>
  <si>
    <t>1. Abrir maduración.
2. Elegir sublote.
3. Registrar 20 Brix.
4. Guardar.
5. Verificar que no esté listo.</t>
  </si>
  <si>
    <t>Con umbral de 22 Brix, la medición de 20 Brix no activó el paso a producción.</t>
  </si>
  <si>
    <t>Usuario Producción autorizado; lote y catálogos cargados.</t>
  </si>
  <si>
    <t>1. Abrir Control de Producción.
2. Elegir lote y Pelado.
3. Registrar pesos y merma.
4. Asignar responsable.
5. Guardar y consultar.</t>
  </si>
  <si>
    <t>Se guardó Pelado con entrada de 100 kg, salida de 90 kg, merma de 10 kg y responsable OPER-QA-01.</t>
  </si>
  <si>
    <t>Lote QA y usuario autorizado.</t>
  </si>
  <si>
    <t>1. Abrir producción.
2. Elegir Corte.
3. Registrar entrada 50 kg.
4. Registrar merma 60 kg.
5. Guardar.
6. Revisar validación.</t>
  </si>
  <si>
    <t>Se registró una merma de 60 kg sobre una etapa con entrada de 50 kg (HTTP 201). La salida de la etapa se ajustó a 0 kg y el balance del proceso quedó en −10 kg sin ningún rechazo.</t>
  </si>
  <si>
    <t>BUG-PRO-01</t>
  </si>
  <si>
    <t>Re-ejecutado: la merma de 60 kg sobre la etapa Corte de 50 kg se rechaza (HTTP 400) por API y por la pantalla; la etapa no registra la merma.</t>
  </si>
  <si>
    <t>Proceso abierto y usuario con permiso de cierre.</t>
  </si>
  <si>
    <t>1. Abrir proceso.
2. Consultar entrada.
3. Registrar merma y producción.
4. Solicitar cierre.
5. Revisar estado.</t>
  </si>
  <si>
    <t>El proceso cerró con 100 kg de entrada, 15 kg de merma y 85 kg producidos; diferencia: 0 kg.</t>
  </si>
  <si>
    <t>Proceso abierto; no existe justificación.</t>
  </si>
  <si>
    <t>1. Abrir proceso.
2. Registrar entrada, merma y producción.
3. Dejar justificación vacía.
4. Intentar cierre.
5. Revisar estado.</t>
  </si>
  <si>
    <t>Se rechazó el cierre con diferencia de 5 kg y justificación vacía; el proceso continuó abierto.</t>
  </si>
  <si>
    <t>Proceso abierto; función de justificación habilitada; permiso por confirmar.</t>
  </si>
  <si>
    <t>1. Abrir proceso.
2. Registrar pesos.
3. Identificar diferencia.
4. Escribir justificación.
5. Solicitar cierre.
6. Consultar evidencia guardada.</t>
  </si>
  <si>
    <t>Suponiendo autorización para justificar diferencias, se cerró con diferencia de 5 kg y se conservó la justificación indicada.</t>
  </si>
  <si>
    <t>Proceso abierto; precisión de 2 decimales como supuesto.</t>
  </si>
  <si>
    <t>1. Abrir proceso.
2. Registrar entrada 100.00.
3. Merma 10.00.
4. Producido 89.99.
5. Cerrar sin justificación.
6. Revisar validación.</t>
  </si>
  <si>
    <t>El sistema tiene definida una tolerancia de balance de 0.01 kg (BALANCE_TOLERANCE_KG); la diferencia de 0.01 kg queda dentro de la tolerancia y el cierre se permitió sin justificación, según la regla vigente.</t>
  </si>
  <si>
    <t>Lote y etapa QA; criterio de rendimiento cero pendiente.</t>
  </si>
  <si>
    <t>1. Abrir producción.
2. Elegir lote.
3. Registrar entrada 50.
4. Merma 50.
5. Salida 0.
6. Guardar y revisar.</t>
  </si>
  <si>
    <t>Suponiendo permitido el rendimiento de 0 %, se registraron 50 kg de entrada, 50 kg de merma y 0 kg de salida, sin negativos.</t>
  </si>
  <si>
    <t>Proceso abierto con diferencia; campo de justificación disponible.</t>
  </si>
  <si>
    <t>1. Abrir proceso.
2. Registrar pesos con diferencia.
3. Ingresar tres espacios.
4. Solicitar cierre.
5. Revisar respuesta.</t>
  </si>
  <si>
    <t>Vía API, el proceso se finalizó (HTTP 200) con diferencia de 5 kg y justificación "   " (solo espacios), que quedó guardada como válida. El formulario web sí recorta los espacios; la regla no está protegida en el backend.</t>
  </si>
  <si>
    <t>BUG-PRO-02</t>
  </si>
  <si>
    <t>Re-ejecutado vía API: la justificación "   " se rechaza (HTTP 400); con una justificación real el cierre se acepta (HTTP 200).</t>
  </si>
  <si>
    <t>Usuario Logística; vehículo Disponible; piloto sin ruta activa.</t>
  </si>
  <si>
    <t>1. Abrir planificación.
2. Elegir pedido.
3. Elegir vehículo.
4. Asignar piloto.
5. Registrar fecha.
6. Guardar y consultar ruta.</t>
  </si>
  <si>
    <t>Se creó RUT-QA-001 para PED-QA-001 con VEH-QA-01 disponible y PIL-QA-01 sin otra ruta activa.</t>
  </si>
  <si>
    <t>Vehículo no disponible; piloto libre; pedido pendiente.</t>
  </si>
  <si>
    <t>1. Abrir planificación.
2. Elegir pedido.
3. Elegir vehículo no disponible.
4. Elegir piloto libre.
5. Guardar.
6. Verificar ausencia de ruta.</t>
  </si>
  <si>
    <t>Se rechazó VEH-QA-02 por no estar disponible y no se creó una ruta activa.</t>
  </si>
  <si>
    <t>Ruta asignada; salida registrada.</t>
  </si>
  <si>
    <t>1. Abrir ruta.
2. Consultar salida.
3. Ingresar llegada.
4. Guardar.
5. Revisar distancia.</t>
  </si>
  <si>
    <t>Se aceptó la llegada de 15125 km frente a 15000 km de salida y se registró un recorrido de 125 km.</t>
  </si>
  <si>
    <t>Ruta con salida registrada.</t>
  </si>
  <si>
    <t>1. Abrir ruta.
2. Consultar salida.
3. Registrar misma llegada.
4. Guardar.
5. Revisar validación.</t>
  </si>
  <si>
    <t>Se rechazó la llegada de 20000 km, igual a la salida de 20000 km, por no aumentar el kilometraje.</t>
  </si>
  <si>
    <t>Piloto con ruta activa; vehículo nuevo disponible.</t>
  </si>
  <si>
    <t>1. Abrir planificación.
2. Elegir nuevo pedido.
3. Elegir vehículo libre.
4. Elegir piloto ocupado.
5. Guardar.
6. Verificar asignaciones.</t>
  </si>
  <si>
    <t>Se impidió asignar PIL-QA-03 a RUT-QA-005B porque ya tenía activa RUT-QA-005A.</t>
  </si>
  <si>
    <t>1. Abrir ruta.
2. Consultar salida.
3. Ingresar llegada inferior.
4. Guardar.
5. Revisar resultado.</t>
  </si>
  <si>
    <t>Se rechazó la llegada de 19999 km frente a 20000 km de salida, sin almacenar una distancia negativa.</t>
  </si>
  <si>
    <t>Devolución reportada; usuario autorizado; estados por conciliar.</t>
  </si>
  <si>
    <t>1. Abrir entrega.
2. Seleccionar devolución.
3. Registrar cantidad.
4. Confirmar recepción física.
5. Guardar.
6. Consultar trazabilidad.</t>
  </si>
  <si>
    <t>Se registró la recepción de 5 unidades de PROD-QA-01 y quedó pendiente la resolución; nombre del estado por confirmar.</t>
  </si>
  <si>
    <t>Devolución reportada sin recepción confirmada.</t>
  </si>
  <si>
    <t>1. Abrir devoluciones.
2. Seleccionar registro.
3. Verificar recepción pendiente.
4. Solicitar reingreso.
5. Consultar inventario.</t>
  </si>
  <si>
    <t>Se bloqueó el reingreso de 8 unidades de PROD-QA-02 por falta de recepción física, sin aumentar el inventario.</t>
  </si>
  <si>
    <t>Reporte accesible; datos QA fechados cargados.</t>
  </si>
  <si>
    <t>1. Abrir reportes.
2. Elegir Producción.
3. Aplicar fechas.
4. Consultar.
5. Comparar registros.</t>
  </si>
  <si>
    <t>Ejecutado sobre el reporte de Pedidos (único reporte con filtro Desde/Hasta): el rango del 01 al 07/10/2026 incluyó los dos registros dentro del periodo y excluyó el registro fuera de rango.</t>
  </si>
  <si>
    <t>Reporte QA generado; exportación PDF disponible.</t>
  </si>
  <si>
    <t>1. Abrir reporte.
2. Aplicar filtros.
3. Consultar.
4. Exportar PDF.
5. Abrir archivo.
6. Comparar filas y totales.</t>
  </si>
  <si>
    <t>Ejecutado sobre el reporte de Pedidos: "Descargar PDF" generó el documento con los 2 registros filtrados y el total coincidente con la vista en pantalla.</t>
  </si>
  <si>
    <t>Reporte QA generado; exportación Excel disponible.</t>
  </si>
  <si>
    <t>1. Abrir reporte.
2. Aplicar filtros.
3. Consultar.
4. Exportar Excel.
5. Abrir archivo.
6. Comparar filas y totales.</t>
  </si>
  <si>
    <t>Ningún reporte del sistema ofrece exportación a Excel; solo existe "Descargar PDF". No es posible obtener el archivo .xlsx esperado.</t>
  </si>
  <si>
    <t>BUG-REP-01</t>
  </si>
  <si>
    <t>Re-ejecutado: "Descargar Excel" generó reporte_pedidos_2026-10-01_2026-10-31.xlsx; abre en Excel con 4 hojas, cantidades por producto idénticas a la pantalla y total Q1,614.00 igual al resumen.</t>
  </si>
  <si>
    <t>Formulario de filtros disponible.</t>
  </si>
  <si>
    <t>1. Abrir reportes.
2. Elegir reporte.
3. Ingresar inicio posterior a fin.
4. Consultar.
5. Revisar validación.</t>
  </si>
  <si>
    <t>La pantalla de Pedidos sí rechaza "Desde" posterior a "Hasta", pero la API GET /api/pedidos/reportes/* con desde=2026-10-15 y hasta=2026-10-10 respondió HTTP 200 con lista vacía, sin error de validación. La búsqueda avanzada de Trazabilidad tampoco valida el rango.</t>
  </si>
  <si>
    <t>BUG-REP-02</t>
  </si>
  <si>
    <t>Re-ejecutado: la API responde HTTP 400 en reportes de pedidos y trazabilidad, y la pantalla de Trazabilidad muestra el aviso; un rango de un solo día sigue aceptándose.</t>
  </si>
  <si>
    <t>Datos QA con clientes, fechas y mermas; filtros disponibles.</t>
  </si>
  <si>
    <t>1. Abrir reporte de mermas.
2. Elegir período.
3. Elegir cliente.
4. Elegir tipo de merma.
5. Consultar.
6. Comparar coincidencias.</t>
  </si>
  <si>
    <t>No ejecutado: ningún reporte del sistema combina los filtros de fecha, cliente y tipo de merma, por lo que el caso y sus variantes Pairwise PW01–PW04 quedan fuera del alcance de esta versión por decisión del equipo; se conservan para una versión futura.</t>
  </si>
  <si>
    <t>Media</t>
  </si>
  <si>
    <t>Período sin registros para cliente seleccionado.</t>
  </si>
  <si>
    <t>1. Abrir reportes.
2. Aplicar período.
3. Filtrar cliente.
4. Consultar.
5. Revisar estado vacío.</t>
  </si>
  <si>
    <t>La consulta del 01 al 02/09/2026 para CLI-QA-99 devolvió 0 registros y no mostró datos de otros clientes.</t>
  </si>
  <si>
    <t>Dashboard y datos QA disponibles; fórmula pendiente de aprobación.</t>
  </si>
  <si>
    <t>1. Cargar registros QA.
2. Abrir dashboard.
3. Filtrar período.
4. Leer indicador.
5. Comparar suma base.</t>
  </si>
  <si>
    <t>Suponiendo que el indicador suma kilogramos producidos, el dashboard mostró 150 kg para los registros de 100 kg y 50 kg.</t>
  </si>
  <si>
    <t>Registro QA creado para día específico.</t>
  </si>
  <si>
    <t>1. Abrir reportes.
2. Elegir Producción.
3. Establecer fechas iguales.
4. Consultar.
5. Comparar registros del día.</t>
  </si>
  <si>
    <t>Ejecutado sobre el reporte de Pedidos: con Desde y Hasta = 05/10/2026 se mostró el registro de esa fecha; los extremos del rango son inclusivos.</t>
  </si>
  <si>
    <t>RESUMEN DE EJECUCIÓN Y DEFECTOS (se recalcula desde el Log y el Bug Tracker)</t>
  </si>
  <si>
    <t>Estado</t>
  </si>
  <si>
    <t>Ciclo 1 (ejecución)</t>
  </si>
  <si>
    <t>% ciclo 1</t>
  </si>
  <si>
    <t>Final (tras regresión)</t>
  </si>
  <si>
    <t>% final</t>
  </si>
  <si>
    <t>Blocked</t>
  </si>
  <si>
    <t>Total casos planificados</t>
  </si>
  <si>
    <t>Casos fuera de alcance (tara y filtros combinados Pairwise)</t>
  </si>
  <si>
    <t>Casos en alcance</t>
  </si>
  <si>
    <t>Casos ejecutados (Pass + Fail)</t>
  </si>
  <si>
    <t>Porcentaje de ejecución (sobre casos en alcance)</t>
  </si>
  <si>
    <t>Tasa de éxito (Pass / ejecutados)</t>
  </si>
  <si>
    <t>Tasa de éxito (Pass / casos en alcance)</t>
  </si>
  <si>
    <t>Defectos por severidad</t>
  </si>
  <si>
    <t>Reportados</t>
  </si>
  <si>
    <t>Abiertos</t>
  </si>
  <si>
    <t>Crítica</t>
  </si>
  <si>
    <t>Baja</t>
  </si>
  <si>
    <t>Total defectos</t>
  </si>
  <si>
    <t>Densidad (defectos / caso ejecutado en ciclo 1)</t>
  </si>
  <si>
    <t>Ciclo 1 = primera ejecución de los 40 casos (julio–octubre 2026). Final = estado tras corregir los 6 defectos y re-ejecutar los casos afectados el 20/10/2026. TC-REQ002-001 y TC-REQ002-006 (tara) y TC-REQ005-005 (filtros combinados / Pairwise) quedan fuera del alcance de esta versión por decisión del equipo. Los casos REQ005 de filtros/exportación se ejecutaron sobre el reporte de Pedidos.</t>
  </si>
  <si>
    <t>ID del bug</t>
  </si>
  <si>
    <t>Título del defecto</t>
  </si>
  <si>
    <t>Desarrollador Asignado</t>
  </si>
  <si>
    <t>Severidad</t>
  </si>
  <si>
    <t>Evidencias (detección)</t>
  </si>
  <si>
    <t>Pasos de Reproducción</t>
  </si>
  <si>
    <t>Fecha de reporte</t>
  </si>
  <si>
    <t>Corrección aplicada</t>
  </si>
  <si>
    <t>Fecha de cierre</t>
  </si>
  <si>
    <t>Evidencias (regresión)</t>
  </si>
  <si>
    <t>Catálogo de clientes permite registrar dos clientes con el mismo NIT</t>
  </si>
  <si>
    <t>Equipo Desarrollo – Backend</t>
  </si>
  <si>
    <t>Cerrado</t>
  </si>
  <si>
    <t>Evidencia_BUG-CLI-01.png
Evidencia_BUG-CLI-01_API.png
qa_environment_error.log</t>
  </si>
  <si>
    <t>1. Ingresar al módulo Clientes.
2. Pulsar "+ Agregar cliente".
3. Capturar Nombre "Cliente QA Duplicado" y NIT 1234567-8.
4. Pulsar "Crear cliente".
5. Buscar el NIT 1234567-8 en el listado de clientes.</t>
  </si>
  <si>
    <t>client.controller.js valida que el NIT no exista en otro cliente activo (comparación sin espacios ni distinción de mayúsculas) al crear y al editar; responde HTTP 409 "Ya existe un cliente activo con ese NIT". Los clientes eliminados (borrado lógico) no bloquean el NIT.</t>
  </si>
  <si>
    <t>Evidencia_BUG-CLI-01_regresion.png
Evidencia_BUG-CLI-01_API_regresion.png
qa_regresion.log</t>
  </si>
  <si>
    <t>API de recepción acepta unidades con peso negativo, generando pesos netos inválidos</t>
  </si>
  <si>
    <t>Evidencia_BUG-REC-01.png
Evidencia_BUG-REC-01_API.png
qa_environment_error.log</t>
  </si>
  <si>
    <t>1. Obtener el id de la entrada LOT-QA-002.
2. Enviar POST /api/entradas-mercancia/{id}/units con el cuerpo {"peso": -5}.
3. Consultar GET /api/entradas-mercancia/{id}/units.</t>
  </si>
  <si>
    <t>entradas_mercancia.controller.js exige peso &gt; 0 en POST /units y en cada unidad enviada al crear la entrada; responde HTTP 400 "peso debe ser mayor a 0".</t>
  </si>
  <si>
    <t>Evidencia_BUG-REC-01_API_regresion.png
qa_regresion.log</t>
  </si>
  <si>
    <t>Producción permite registrar merma mayor al peso de entrada de la etapa</t>
  </si>
  <si>
    <t>Evidencia_BUG-PRO-01.png
Evidencia_BUG-PRO-01_listado.png
Evidencia_BUG-PRO-01_API.png
qa_environment_error.log</t>
  </si>
  <si>
    <t>1. Ingresar a Producción y abrir el proceso de prueba con "Gestionar".
2. En la etapa "Corte" pulsar "Registrar merma".
3. Capturar tipo de merma y cantidad 60 kg.
4. Pulsar "Registrar merma" y revisar el balance de la etapa y del proceso.</t>
  </si>
  <si>
    <t>production.worker.js rechaza (HTTP 400) una merma cuyo acumulado supere la entrada de su etapa o lo ingresado al proceso, y no permite editar una etapa dejando su entrada por debajo de las mermas ya registradas. El límite exacto (merma = entrada) sigue permitido.</t>
  </si>
  <si>
    <t>Evidencia_BUG-PRO-01_regresion.png
Evidencia_BUG-PRO-01_API_regresion.png
qa_regresion.log</t>
  </si>
  <si>
    <t>Cierre de proceso acepta justificación compuesta solo por espacios</t>
  </si>
  <si>
    <t>Evidencia_BUG-PRO-02.png
Evidencia_BUG-PRO-02_API.png
qa_environment_error.log</t>
  </si>
  <si>
    <t>1. Autenticarse en la API (POST /api/users/login) y obtener el token.
2. Enviar POST /api/produccion/procesos/{id}/finalizar con {"cantidad_producida_kg": 175, "justificacion_diferencia": ""} → control: HTTP 400.
3. Repetir la petición con "justificacion_diferencia": "   " (tres espacios).
4. Buscar el proceso en Trazabilidad y revisar la "Diferencia de balance de masa".</t>
  </si>
  <si>
    <t>production.worker.js aplica trim() a la justificación de diferencia (finalizar) y a la de reversión mediante normalizeJustification; una cadena de solo espacios equivale a vacía (HTTP 400). La justificación válida se guarda sin espacios sobrantes.</t>
  </si>
  <si>
    <t>Evidencia_BUG-PRO-02_API_regresion.png
qa_regresion.log</t>
  </si>
  <si>
    <t>Los reportes no ofrecen exportación a Excel</t>
  </si>
  <si>
    <t>Equipo Desarrollo – Frontend</t>
  </si>
  <si>
    <t>Evidencia_BUG-REP-01.png
qa_environment_error.log</t>
  </si>
  <si>
    <t>1. Ingresar a Pedidos &gt; Reportes.
2. Filtrar Desde 2026-10-01 y Hasta 2026-10-31.
3. Buscar una opción para exportar a Excel.</t>
  </si>
  <si>
    <t>OrdersModule.jsx agrega el botón "Descargar Excel" (librería exceljs, carga diferida) que genera el reporte con hojas Resumen, Por cliente, Por producto y Detalle; cantidades y montos como números y fila Total con fórmula. PDF y Excel comparten el mismo cálculo (summarizeOrdersReport).</t>
  </si>
  <si>
    <t>Evidencia_BUG-REP-01_regresion.png
Evidencia_BUG-REP-01_API_regresion.png
qa_regresion.log</t>
  </si>
  <si>
    <t>API de reportes acepta intervalo de fechas invertido sin error de validación</t>
  </si>
  <si>
    <t>Evidencia_BUG-REP-02.png
Evidencia_BUG-REP-02_API.png
qa_environment_error.log</t>
  </si>
  <si>
    <t>1. Enviar GET /api/pedidos/reportes/compras-por-cliente?desde=2026-10-15&amp;hasta=2026-10-10.
2. Revisar código y cuerpo de la respuesta.
3. Repetir en Trazabilidad &gt; Búsqueda avanzada con Desde 15/10/2026 y Hasta 10/10/2026.</t>
  </si>
  <si>
    <t>order.controller.js (todos los reportes de pedidos) y traceability.controller.js responden HTTP 400 si desde &gt; hasta; TraceabilityModule.jsx valida el rango antes de consultar.</t>
  </si>
  <si>
    <t>Evidencia_BUG-REP-02_regresion.png
Evidencia_BUG-REP-02_API_regresion.png
qa_regresion.log</t>
  </si>
  <si>
    <t>DETALLE TÉCNICO DE DEFECTOS (una ficha por cada bug del Bug Tracker)</t>
  </si>
  <si>
    <t>BUG-CLI-01  —  Catálogo de clientes permite registrar dos clientes con el mismo NIT</t>
  </si>
  <si>
    <t>ID Defecto</t>
  </si>
  <si>
    <t>Título</t>
  </si>
  <si>
    <t>Caso de prueba asociado</t>
  </si>
  <si>
    <t>Especialista QA Reportador</t>
  </si>
  <si>
    <t>Severidad / Prioridad</t>
  </si>
  <si>
    <t>Alta / Alta</t>
  </si>
  <si>
    <t>Ambiente de Prueba</t>
  </si>
  <si>
    <t>QA local – API Node.js/Express (commit 7c6cfb7) + MariaDB 10.4.32 (XAMPP) sobre una copia aislada de la BD (proyecto_graduacion_qa); Frontend React/Vite en Google Chrome (Playwright).</t>
  </si>
  <si>
    <t>Usuario Administrador autenticado; cliente "Cliente QA Original" activo con NIT 1234567-8.</t>
  </si>
  <si>
    <t>Pasos para Reproducir</t>
  </si>
  <si>
    <t>El sistema rechaza el registro con un mensaje de NIT duplicado y conserva un único cliente con ese NIT.</t>
  </si>
  <si>
    <t>Resultado Obtenido</t>
  </si>
  <si>
    <t>El cliente se guarda (HTTP 201) y el listado muestra varios clientes activos con NIT 1234567-8.</t>
  </si>
  <si>
    <t>Análisis técnico (causa)</t>
  </si>
  <si>
    <t>La columna clientes.nit_facturacion no tiene restricción de unicidad y client.worker.js (create/update) no verifica si el NIT ya existe.</t>
  </si>
  <si>
    <t>Evidencia Adjunta</t>
  </si>
  <si>
    <t>Evidencia_BUG-CLI-01.png; Evidencia_BUG-CLI-01_API.png (capturas con anotación del error); log HTTP: qa_environment_error.log</t>
  </si>
  <si>
    <t>Resultado de la regresión</t>
  </si>
  <si>
    <t>Re-ejecutado: el segundo cliente con NIT 1234567-8 fue rechazado (HTTP 409) por API y por la pantalla; solo existe el cliente original. Pruebas automatizadas de regresión: tests/api/qa_defects.api.test.js (Vitest + Supertest), suite completa del backend en verde.</t>
  </si>
  <si>
    <t>Evidencia de la regresión</t>
  </si>
  <si>
    <t>Evidencia_BUG-CLI-01_regresion.png; Evidencia_BUG-CLI-01_API_regresion.png; log HTTP: qa_regresion.log</t>
  </si>
  <si>
    <t>Cerrado (corregido y verificado en regresión el 20/10/2026)</t>
  </si>
  <si>
    <t>BUG-REC-01  —  API de recepción acepta unidades con peso negativo, generando pesos netos inválidos</t>
  </si>
  <si>
    <t>Media / Media</t>
  </si>
  <si>
    <t>Usuario con rol de Recepción autenticado; entrada de mercancía LOT-QA-002 creada con una unidad de 20 kg.</t>
  </si>
  <si>
    <t>La API responde HTTP 400 indicando que el peso debe ser mayor a 0 y no registra la unidad.</t>
  </si>
  <si>
    <t>La API responde HTTP 201 y la unidad queda registrada con peso −5 kg.</t>
  </si>
  <si>
    <t>createUnitForEntrada (entradas_mercancia.controller.js) solo validaba que el peso fuera numérico, sin exigir peso &gt; 0.</t>
  </si>
  <si>
    <t>Evidencia_BUG-REC-01.png; Evidencia_BUG-REC-01_API.png (capturas con anotación del error); log HTTP: qa_environment_error.log</t>
  </si>
  <si>
    <t>Re-ejecutado: POST /units con peso −5 kg rechazado (HTTP 400); la unidad no se registra. Pruebas automatizadas de regresión: tests/api/qa_defects.api.test.js (Vitest + Supertest), suite completa del backend en verde.</t>
  </si>
  <si>
    <t>Evidencia_BUG-REC-01_API_regresion.png; log HTTP: qa_regresion.log</t>
  </si>
  <si>
    <t>BUG-PRO-01  —  Producción permite registrar merma mayor al peso de entrada de la etapa</t>
  </si>
  <si>
    <t>Proceso de producción activo con etapa "Corte" registrada con 50 kg de entrada.</t>
  </si>
  <si>
    <t>El sistema rechaza la merma porque supera los 50 kg de entrada de la etapa.</t>
  </si>
  <si>
    <t>La merma de 60 kg se guarda (HTTP 201); la salida de la etapa se fuerza a 0 kg y el balance del proceso queda en −10 kg.</t>
  </si>
  <si>
    <t>productionProcesses.addMerma (production.worker.js) insertaba la merma sin comparar el acumulado contra la entrada; recomputeStageMermaAndSalida ocultaba el exceso con Math.max(0, …).</t>
  </si>
  <si>
    <t>Evidencia_BUG-PRO-01.png; Evidencia_BUG-PRO-01_listado.png; Evidencia_BUG-PRO-01_API.png (capturas con anotación del error); log HTTP: qa_environment_error.log</t>
  </si>
  <si>
    <t>Re-ejecutado: la merma de 60 kg sobre la etapa Corte de 50 kg se rechaza (HTTP 400) por API y por la pantalla; la etapa no registra la merma. Pruebas automatizadas de regresión: tests/api/qa_defects.api.test.js (Vitest + Supertest), suite completa del backend en verde.</t>
  </si>
  <si>
    <t>Evidencia_BUG-PRO-01_regresion.png; Evidencia_BUG-PRO-01_API_regresion.png; log HTTP: qa_regresion.log</t>
  </si>
  <si>
    <t>BUG-PRO-02  —  Cierre de proceso acepta justificación compuesta solo por espacios</t>
  </si>
  <si>
    <t>Token de Administrador; proceso PROD-QA-008 en curso: entrada 200 kg, mermas 20 kg y etapas requeridas (Pelado, Corte) registradas.</t>
  </si>
  <si>
    <t>El sistema trata la justificación como vacía y bloquea el cierre por diferencia de 5 kg sin justificar.</t>
  </si>
  <si>
    <t>La API responde HTTP 200: el proceso queda Finalizado con diferencia de 5.00 kg y justificación "   ". El formulario web sí recorta los espacios; el defecto se reproduce al consumir la API.</t>
  </si>
  <si>
    <t>normalizeNullableText (workers/shared/helpers.js) no aplicaba trim(); la validación existía solo en el frontend.</t>
  </si>
  <si>
    <t>Evidencia_BUG-PRO-02.png; Evidencia_BUG-PRO-02_API.png (capturas con anotación del error); log HTTP: qa_environment_error.log</t>
  </si>
  <si>
    <t>Re-ejecutado vía API: la justificación "   " se rechaza (HTTP 400); con una justificación real el cierre se acepta (HTTP 200). Pruebas automatizadas de regresión: tests/api/qa_defects.api.test.js (Vitest + Supertest), suite completa del backend en verde.</t>
  </si>
  <si>
    <t>Evidencia_BUG-PRO-02_API_regresion.png; log HTTP: qa_regresion.log</t>
  </si>
  <si>
    <t>BUG-REP-01  —  Los reportes no ofrecen exportación a Excel</t>
  </si>
  <si>
    <t>Usuario Administrador autenticado; pedidos registrados entre el 01 y el 31/10/2026.</t>
  </si>
  <si>
    <t>Existe una opción de exportación a Excel que conserva filas, cantidades y total del reporte.</t>
  </si>
  <si>
    <t>Solo está disponible "Descargar PDF"; ningún módulo ofrece exportación .xlsx.</t>
  </si>
  <si>
    <t>El frontend no incluía ninguna función de exportación a hoja de cálculo; solo generaba PDF con jsPDF.</t>
  </si>
  <si>
    <t>Evidencia_BUG-REP-01.png (capturas con anotación del error); log HTTP: qa_environment_error.log</t>
  </si>
  <si>
    <t>Re-ejecutado: "Descargar Excel" generó reporte_pedidos_2026-10-01_2026-10-31.xlsx; abre en Excel con 4 hojas, cantidades por producto idénticas a la pantalla y total Q1,614.00 igual al resumen. Pruebas automatizadas de regresión: tests/api/qa_defects.api.test.js (Vitest + Supertest), suite completa del backend en verde.</t>
  </si>
  <si>
    <t>Evidencia_BUG-REP-01_regresion.png; Evidencia_BUG-REP-01_API_regresion.png; log HTTP: qa_regresion.log</t>
  </si>
  <si>
    <t>BUG-REP-02  —  API de reportes acepta intervalo de fechas invertido sin error de validación</t>
  </si>
  <si>
    <t>Baja / Media</t>
  </si>
  <si>
    <t>Usuario Administrador autenticado con token válido.</t>
  </si>
  <si>
    <t>Respuesta HTTP 400 indicando que "desde" no puede ser posterior a "hasta"; la pantalla de Trazabilidad muestra el mismo aviso.</t>
  </si>
  <si>
    <t>La API responde HTTP 200 con una lista vacía y la búsqueda de Trazabilidad no muestra advertencia. Solo la pantalla de Pedidos validaba el rango.</t>
  </si>
  <si>
    <t>order.controller.js y traceability.controller.js validaban solo el formato YYYY-MM-DD de cada fecha, no su orden.</t>
  </si>
  <si>
    <t>Evidencia_BUG-REP-02.png; Evidencia_BUG-REP-02_API.png (capturas con anotación del error); log HTTP: qa_environment_error.log</t>
  </si>
  <si>
    <t>Re-ejecutado: la API responde HTTP 400 en reportes de pedidos y trazabilidad, y la pantalla de Trazabilidad muestra el aviso; un rango de un solo día sigue aceptándose. Pruebas automatizadas de regresión: tests/api/qa_defects.api.test.js (Vitest + Supertest), suite completa del backend en verde.</t>
  </si>
  <si>
    <t>Evidencia_BUG-REP-02_regresion.png; Evidencia_BUG-REP-02_API_regresion.png; log HTTP: qa_regresion.log</t>
  </si>
  <si>
    <t>Momento</t>
  </si>
  <si>
    <t>Tipo</t>
  </si>
  <si>
    <t>Archivo (clic para abrir)</t>
  </si>
  <si>
    <t>Qué muestra</t>
  </si>
  <si>
    <t>Detección</t>
  </si>
  <si>
    <t>Pantalla</t>
  </si>
  <si>
    <t>../03_EVIDENCIAS_Y_MOCKDATA/Capturas_Bugs/Evidencia_BUG-CLI-01.png</t>
  </si>
  <si>
    <t>Clientes: mensaje de éxito y 3 clientes activos con NIT 1234567-8</t>
  </si>
  <si>
    <t>API</t>
  </si>
  <si>
    <t>../03_EVIDENCIAS_Y_MOCKDATA/Capturas_Bugs/Evidencia_BUG-CLI-01_API.png</t>
  </si>
  <si>
    <t>POST /api/clientes con NIT repetido → HTTP 201</t>
  </si>
  <si>
    <t>Log</t>
  </si>
  <si>
    <t>../03_EVIDENCIAS_Y_MOCKDATA/Logs_Consola_Servidor/qa_environment_error.log</t>
  </si>
  <si>
    <t>Peticiones y respuestas HTTP completas</t>
  </si>
  <si>
    <t>Regresión</t>
  </si>
  <si>
    <t>../03_EVIDENCIAS_Y_MOCKDATA/Capturas_Bugs/Evidencia_BUG-CLI-01_regresion.png</t>
  </si>
  <si>
    <t>Clientes: "Ya existe un cliente activo con ese NIT"; no se crea el cliente</t>
  </si>
  <si>
    <t>../03_EVIDENCIAS_Y_MOCKDATA/Capturas_Bugs/Evidencia_BUG-CLI-01_API_regresion.png</t>
  </si>
  <si>
    <t>POST /api/clientes con NIT repetido → HTTP 409</t>
  </si>
  <si>
    <t>../03_EVIDENCIAS_Y_MOCKDATA/Logs_Consola_Servidor/qa_regresion.log</t>
  </si>
  <si>
    <t>../03_EVIDENCIAS_Y_MOCKDATA/Capturas_Bugs/Evidencia_BUG-REC-01.png</t>
  </si>
  <si>
    <t>Detalle de entrada #28: unidad con peso −5.000</t>
  </si>
  <si>
    <t>../03_EVIDENCIAS_Y_MOCKDATA/Capturas_Bugs/Evidencia_BUG-REC-01_API.png</t>
  </si>
  <si>
    <t>POST /units {"peso": -5} → HTTP 201</t>
  </si>
  <si>
    <t>../03_EVIDENCIAS_Y_MOCKDATA/Capturas_Bugs/Evidencia_BUG-REC-01_API_regresion.png</t>
  </si>
  <si>
    <t>POST /units {"peso": -5} → HTTP 400</t>
  </si>
  <si>
    <t>../03_EVIDENCIAS_Y_MOCKDATA/Capturas_Bugs/Evidencia_BUG-PRO-01.png</t>
  </si>
  <si>
    <t>Proceso PRO-000014: etapa Corte con entrada 50 kg, merma 60 kg, salida 0 kg</t>
  </si>
  <si>
    <t>../03_EVIDENCIAS_Y_MOCKDATA/Capturas_Bugs/Evidencia_BUG-PRO-01_listado.png</t>
  </si>
  <si>
    <t>Listado de procesos: Ingresado 50.00 kg vs Merma total 60.00 kg</t>
  </si>
  <si>
    <t>../03_EVIDENCIAS_Y_MOCKDATA/Capturas_Bugs/Evidencia_BUG-PRO-01_API.png</t>
  </si>
  <si>
    <t>POST /mermas (60 kg sobre 50 kg) → HTTP 201</t>
  </si>
  <si>
    <t>../03_EVIDENCIAS_Y_MOCKDATA/Capturas_Bugs/Evidencia_BUG-PRO-01_regresion.png</t>
  </si>
  <si>
    <t>Registrar merma de 60 kg: "La merma supera la entrada de la etapa"</t>
  </si>
  <si>
    <t>../03_EVIDENCIAS_Y_MOCKDATA/Capturas_Bugs/Evidencia_BUG-PRO-01_API_regresion.png</t>
  </si>
  <si>
    <t>POST /mermas (60 kg sobre 50 kg) → HTTP 400</t>
  </si>
  <si>
    <t>../03_EVIDENCIAS_Y_MOCKDATA/Capturas_Bugs/Evidencia_BUG-PRO-02.png</t>
  </si>
  <si>
    <t>Trazabilidad PRO-000015: diferencia de 5 kg sin justificación visible</t>
  </si>
  <si>
    <t>../03_EVIDENCIAS_Y_MOCKDATA/Capturas_Bugs/Evidencia_BUG-PRO-02_API.png</t>
  </si>
  <si>
    <t>POST /finalizar: "" → 400, "   " → HTTP 200</t>
  </si>
  <si>
    <t>../03_EVIDENCIAS_Y_MOCKDATA/Capturas_Bugs/Evidencia_BUG-PRO-02_API_regresion.png</t>
  </si>
  <si>
    <t>POST /finalizar: "   " → 400; justificación real → 200</t>
  </si>
  <si>
    <t>../03_EVIDENCIAS_Y_MOCKDATA/Capturas_Bugs/Evidencia_BUG-REP-01.png</t>
  </si>
  <si>
    <t>Pedidos &gt; Reportes: solo "Descargar PDF"</t>
  </si>
  <si>
    <t>../03_EVIDENCIAS_Y_MOCKDATA/Capturas_Bugs/Evidencia_BUG-REP-01_regresion.png</t>
  </si>
  <si>
    <t>Pedidos &gt; Reportes: nuevo botón "Descargar Excel" y archivo descargado</t>
  </si>
  <si>
    <t>../03_EVIDENCIAS_Y_MOCKDATA/Capturas_Bugs/Evidencia_BUG-REP-01_API_regresion.png</t>
  </si>
  <si>
    <t>Verificación del .xlsx: 4 hojas, cantidades = pantalla, total Q1,614.00</t>
  </si>
  <si>
    <t>Archivo</t>
  </si>
  <si>
    <t>../03_EVIDENCIAS_Y_MOCKDATA/Archivos_Generados/reporte_pedidos_2026-10-01_2026-10-31.xlsx</t>
  </si>
  <si>
    <t>Archivo Excel exportado por el sistema durante la regresión</t>
  </si>
  <si>
    <t>../03_EVIDENCIAS_Y_MOCKDATA/Capturas_Bugs/Evidencia_BUG-REP-02.png</t>
  </si>
  <si>
    <t>Trazabilidad: Desde &gt; Hasta sin advertencia</t>
  </si>
  <si>
    <t>../03_EVIDENCIAS_Y_MOCKDATA/Capturas_Bugs/Evidencia_BUG-REP-02_API.png</t>
  </si>
  <si>
    <t>GET reportes/trazabilidad con rango invertido → HTTP 200 []</t>
  </si>
  <si>
    <t>../03_EVIDENCIAS_Y_MOCKDATA/Capturas_Bugs/Evidencia_BUG-REP-02_regresion.png</t>
  </si>
  <si>
    <t>Trazabilidad: aviso "La fecha Desde no puede ser posterior a Hasta"</t>
  </si>
  <si>
    <t>../03_EVIDENCIAS_Y_MOCKDATA/Capturas_Bugs/Evidencia_BUG-REP-02_API_regresion.png</t>
  </si>
  <si>
    <t>GET reportes/trazabilidad con rango invertido → HTTP 400</t>
  </si>
  <si>
    <t>Rutas relativas a la carpeta del Excel: las evidencias están en ../03_EVIDENCIAS_Y_MOCKDATA/. Mantener la estructura de carpetas de la entrega para que los enlaces funcionen.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</si>
</sst>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F4E78"/>
      <name val="Calibri"/>
    </font>
    <font>
      <b/>
      <sz val="11"/>
      <name val="Calibri"/>
    </font>
    <font>
      <i/>
      <sz val="10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5" fillId="0" borderId="0" xfId="0" applyFont="1"/>
    <xf numFmtId="0" fontId="7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vertical="top" wrapText="1"/>
    </xf>
    <xf numFmtId="14" fontId="4" fillId="0" borderId="0" xfId="0" applyNumberFormat="1" applyFont="1" applyAlignment="1">
      <alignment horizontal="center" vertical="top"/>
    </xf>
    <xf numFmtId="0" fontId="3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65" fontId="4" fillId="0" borderId="2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/>
    <xf numFmtId="165" fontId="4" fillId="0" borderId="2" xfId="0" applyNumberFormat="1" applyFont="1" applyBorder="1"/>
    <xf numFmtId="0" fontId="6" fillId="0" borderId="2" xfId="0" applyFont="1" applyBorder="1"/>
    <xf numFmtId="165" fontId="6" fillId="0" borderId="2" xfId="0" applyNumberFormat="1" applyFont="1" applyBorder="1"/>
    <xf numFmtId="2" fontId="6" fillId="0" borderId="2" xfId="0" applyNumberFormat="1" applyFont="1" applyBorder="1"/>
    <xf numFmtId="0" fontId="6" fillId="3" borderId="2" xfId="0" applyFont="1" applyFill="1" applyBorder="1" applyAlignment="1">
      <alignment vertical="top" wrapText="1"/>
    </xf>
    <xf numFmtId="0" fontId="4" fillId="0" borderId="2" xfId="0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6" fillId="4" borderId="2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/>
    <xf numFmtId="0" fontId="3" fillId="2" borderId="0" xfId="0" applyFont="1" applyFill="1"/>
  </cellXfs>
  <cellStyles count="1">
    <cellStyle name="Normal" xfId="0" builtinId="0"/>
  </cellStyles>
  <dxfs count="26">
    <dxf>
      <font>
        <b/>
        <color rgb="FF006100"/>
      </font>
      <fill>
        <patternFill patternType="solid">
          <bgColor rgb="FFC6EF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9999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595959"/>
      </font>
      <fill>
        <patternFill patternType="solid">
          <bgColor rgb="FFE7E6E6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595959"/>
      </font>
      <fill>
        <patternFill patternType="solid">
          <bgColor rgb="FFE7E6E6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595959"/>
      </font>
      <fill>
        <patternFill patternType="solid">
          <bgColor rgb="FFE7E6E6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595959"/>
      </font>
      <fill>
        <patternFill patternType="solid">
          <bgColor rgb="FFE7E6E6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RTMFinal" displayName="TablaRTMFinal" ref="A1:O41">
  <autoFilter ref="A1:O41" xr:uid="{00000000-0009-0000-0100-000001000000}"/>
  <tableColumns count="15">
    <tableColumn id="1" xr3:uid="{00000000-0010-0000-0000-000001000000}" name="Módulo"/>
    <tableColumn id="2" xr3:uid="{00000000-0010-0000-0000-000002000000}" name="ID Requerimiento"/>
    <tableColumn id="3" xr3:uid="{00000000-0010-0000-0000-000003000000}" name="ID Condición"/>
    <tableColumn id="4" xr3:uid="{00000000-0010-0000-0000-000004000000}" name="Descripción de condición"/>
    <tableColumn id="5" xr3:uid="{00000000-0010-0000-0000-000005000000}" name="ID Caso"/>
    <tableColumn id="6" xr3:uid="{00000000-0010-0000-0000-000006000000}" name="Nombre del caso"/>
    <tableColumn id="7" xr3:uid="{00000000-0010-0000-0000-000007000000}" name="Técnica aplicada"/>
    <tableColumn id="8" xr3:uid="{00000000-0010-0000-0000-000008000000}" name="ID Dato"/>
    <tableColumn id="9" xr3:uid="{00000000-0010-0000-0000-000009000000}" name="Datos de entrada"/>
    <tableColumn id="10" xr3:uid="{00000000-0010-0000-0000-00000A000000}" name="Resultado esperado"/>
    <tableColumn id="11" xr3:uid="{00000000-0010-0000-0000-00000B000000}" name="Estado ciclo 1"/>
    <tableColumn id="12" xr3:uid="{00000000-0010-0000-0000-00000C000000}" name="Estado final"/>
    <tableColumn id="13" xr3:uid="{00000000-0010-0000-0000-00000D000000}" name="Defecto asociado"/>
    <tableColumn id="14" xr3:uid="{00000000-0010-0000-0000-00000E000000}" name="Estado del defecto"/>
    <tableColumn id="15" xr3:uid="{00000000-0010-0000-0000-00000F000000}" name="Observació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1" displayName="Tabla1" ref="A1:R41" totalsRowShown="0">
  <autoFilter ref="A1:R41" xr:uid="{00000000-0009-0000-0100-000002000000}"/>
  <tableColumns count="18">
    <tableColumn id="1" xr3:uid="{00000000-0010-0000-0100-000001000000}" name="ID Caso"/>
    <tableColumn id="2" xr3:uid="{00000000-0010-0000-0100-000002000000}" name="ID REQ"/>
    <tableColumn id="3" xr3:uid="{00000000-0010-0000-0100-000003000000}" name="Nombre del Caso"/>
    <tableColumn id="4" xr3:uid="{00000000-0010-0000-0100-000004000000}" name="Técnica Aplicada"/>
    <tableColumn id="5" xr3:uid="{00000000-0010-0000-0100-000005000000}" name="Prioridad"/>
    <tableColumn id="6" xr3:uid="{00000000-0010-0000-0100-000006000000}" name="Precondiciones"/>
    <tableColumn id="7" xr3:uid="{00000000-0010-0000-0100-000007000000}" name="Pasos de Ejecución"/>
    <tableColumn id="8" xr3:uid="{00000000-0010-0000-0100-000008000000}" name="Datos de Entrada"/>
    <tableColumn id="9" xr3:uid="{00000000-0010-0000-0100-000009000000}" name="Resultado Esperado"/>
    <tableColumn id="10" xr3:uid="{00000000-0010-0000-0100-00000A000000}" name="Estado de ejecución"/>
    <tableColumn id="11" xr3:uid="{00000000-0010-0000-0100-00000B000000}" name="Fecha de Ejecución"/>
    <tableColumn id="12" xr3:uid="{00000000-0010-0000-0100-00000C000000}" name="Especialista QA"/>
    <tableColumn id="13" xr3:uid="{00000000-0010-0000-0100-00000D000000}" name="Resultado obtenido"/>
    <tableColumn id="14" xr3:uid="{00000000-0010-0000-0100-00000E000000}" name="ID del defecto asociado"/>
    <tableColumn id="15" xr3:uid="{00000000-0010-0000-0100-00000F000000}" name="Estado final (tras regresión)"/>
    <tableColumn id="16" xr3:uid="{00000000-0010-0000-0100-000010000000}" name="Fecha de re-ejecución"/>
    <tableColumn id="17" xr3:uid="{00000000-0010-0000-0100-000011000000}" name="Especialista QA (re-ejecución)"/>
    <tableColumn id="18" xr3:uid="{00000000-0010-0000-0100-000012000000}" name="Resultado de la re-ejecu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Bugs" displayName="TablaBugs" ref="A1:N7">
  <autoFilter ref="A1:N7" xr:uid="{00000000-0009-0000-0100-000003000000}"/>
  <tableColumns count="14">
    <tableColumn id="1" xr3:uid="{00000000-0010-0000-0200-000001000000}" name="ID del bug"/>
    <tableColumn id="2" xr3:uid="{00000000-0010-0000-0200-000002000000}" name="ID Caso"/>
    <tableColumn id="3" xr3:uid="{00000000-0010-0000-0200-000003000000}" name="Título del defecto"/>
    <tableColumn id="4" xr3:uid="{00000000-0010-0000-0200-000004000000}" name="Especialista QA"/>
    <tableColumn id="5" xr3:uid="{00000000-0010-0000-0200-000005000000}" name="Desarrollador Asignado"/>
    <tableColumn id="6" xr3:uid="{00000000-0010-0000-0200-000006000000}" name="Severidad"/>
    <tableColumn id="7" xr3:uid="{00000000-0010-0000-0200-000007000000}" name="Prioridad"/>
    <tableColumn id="8" xr3:uid="{00000000-0010-0000-0200-000008000000}" name="Estado"/>
    <tableColumn id="9" xr3:uid="{00000000-0010-0000-0200-000009000000}" name="Evidencias (detección)"/>
    <tableColumn id="10" xr3:uid="{00000000-0010-0000-0200-00000A000000}" name="Pasos de Reproducción"/>
    <tableColumn id="11" xr3:uid="{00000000-0010-0000-0200-00000B000000}" name="Fecha de reporte"/>
    <tableColumn id="12" xr3:uid="{00000000-0010-0000-0200-00000C000000}" name="Corrección aplicada"/>
    <tableColumn id="13" xr3:uid="{00000000-0010-0000-0200-00000D000000}" name="Fecha de cierre"/>
    <tableColumn id="14" xr3:uid="{00000000-0010-0000-0200-00000E000000}" name="Evidencias (regresión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Evidencias" displayName="TablaEvidencias" ref="A1:F35">
  <autoFilter ref="A1:F35" xr:uid="{00000000-0009-0000-0100-000004000000}"/>
  <tableColumns count="6">
    <tableColumn id="1" xr3:uid="{00000000-0010-0000-0300-000001000000}" name="ID del bug"/>
    <tableColumn id="2" xr3:uid="{00000000-0010-0000-0300-000002000000}" name="ID Caso"/>
    <tableColumn id="3" xr3:uid="{00000000-0010-0000-0300-000003000000}" name="Momento"/>
    <tableColumn id="4" xr3:uid="{00000000-0010-0000-0300-000004000000}" name="Tipo"/>
    <tableColumn id="5" xr3:uid="{00000000-0010-0000-0300-000005000000}" name="Archivo (clic para abrir)"/>
    <tableColumn id="6" xr3:uid="{00000000-0010-0000-0300-000006000000}" name="Qué muest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/03_EVIDENCIAS_Y_MOCKDATA/Capturas_Bugs/Evidencia_BUG-PRO-02_API_regresion.png" TargetMode="External"/><Relationship Id="rId13" Type="http://schemas.openxmlformats.org/officeDocument/2006/relationships/table" Target="../tables/table3.xml"/><Relationship Id="rId3" Type="http://schemas.openxmlformats.org/officeDocument/2006/relationships/hyperlink" Target="../03_EVIDENCIAS_Y_MOCKDATA/Capturas_Bugs/Evidencia_BUG-REC-01.png" TargetMode="External"/><Relationship Id="rId7" Type="http://schemas.openxmlformats.org/officeDocument/2006/relationships/hyperlink" Target="../03_EVIDENCIAS_Y_MOCKDATA/Capturas_Bugs/Evidencia_BUG-PRO-02.png" TargetMode="External"/><Relationship Id="rId12" Type="http://schemas.openxmlformats.org/officeDocument/2006/relationships/hyperlink" Target="../03_EVIDENCIAS_Y_MOCKDATA/Capturas_Bugs/Evidencia_BUG-REP-02_regresion.png" TargetMode="External"/><Relationship Id="rId2" Type="http://schemas.openxmlformats.org/officeDocument/2006/relationships/hyperlink" Target="../03_EVIDENCIAS_Y_MOCKDATA/Capturas_Bugs/Evidencia_BUG-CLI-01_regresion.png" TargetMode="External"/><Relationship Id="rId1" Type="http://schemas.openxmlformats.org/officeDocument/2006/relationships/hyperlink" Target="../03_EVIDENCIAS_Y_MOCKDATA/Capturas_Bugs/Evidencia_BUG-CLI-01.png" TargetMode="External"/><Relationship Id="rId6" Type="http://schemas.openxmlformats.org/officeDocument/2006/relationships/hyperlink" Target="../03_EVIDENCIAS_Y_MOCKDATA/Capturas_Bugs/Evidencia_BUG-PRO-01_regresion.png" TargetMode="External"/><Relationship Id="rId11" Type="http://schemas.openxmlformats.org/officeDocument/2006/relationships/hyperlink" Target="../03_EVIDENCIAS_Y_MOCKDATA/Capturas_Bugs/Evidencia_BUG-REP-02.png" TargetMode="External"/><Relationship Id="rId5" Type="http://schemas.openxmlformats.org/officeDocument/2006/relationships/hyperlink" Target="../03_EVIDENCIAS_Y_MOCKDATA/Capturas_Bugs/Evidencia_BUG-PRO-01.png" TargetMode="External"/><Relationship Id="rId10" Type="http://schemas.openxmlformats.org/officeDocument/2006/relationships/hyperlink" Target="../03_EVIDENCIAS_Y_MOCKDATA/Capturas_Bugs/Evidencia_BUG-REP-01_regresion.png" TargetMode="External"/><Relationship Id="rId4" Type="http://schemas.openxmlformats.org/officeDocument/2006/relationships/hyperlink" Target="../03_EVIDENCIAS_Y_MOCKDATA/Capturas_Bugs/Evidencia_BUG-REC-01_API_regresion.png" TargetMode="External"/><Relationship Id="rId9" Type="http://schemas.openxmlformats.org/officeDocument/2006/relationships/hyperlink" Target="../03_EVIDENCIAS_Y_MOCKDATA/Capturas_Bugs/Evidencia_BUG-REP-01.pn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../03_EVIDENCIAS_Y_MOCKDATA/Capturas_Bugs/Evidencia_BUG-PRO-02_API_regresion.png" TargetMode="External"/><Relationship Id="rId3" Type="http://schemas.openxmlformats.org/officeDocument/2006/relationships/hyperlink" Target="../03_EVIDENCIAS_Y_MOCKDATA/Capturas_Bugs/Evidencia_BUG-REC-01.png" TargetMode="External"/><Relationship Id="rId7" Type="http://schemas.openxmlformats.org/officeDocument/2006/relationships/hyperlink" Target="../03_EVIDENCIAS_Y_MOCKDATA/Capturas_Bugs/Evidencia_BUG-PRO-02.png" TargetMode="External"/><Relationship Id="rId12" Type="http://schemas.openxmlformats.org/officeDocument/2006/relationships/hyperlink" Target="../03_EVIDENCIAS_Y_MOCKDATA/Capturas_Bugs/Evidencia_BUG-REP-02_regresion.png" TargetMode="External"/><Relationship Id="rId2" Type="http://schemas.openxmlformats.org/officeDocument/2006/relationships/hyperlink" Target="../03_EVIDENCIAS_Y_MOCKDATA/Capturas_Bugs/Evidencia_BUG-CLI-01_regresion.png" TargetMode="External"/><Relationship Id="rId1" Type="http://schemas.openxmlformats.org/officeDocument/2006/relationships/hyperlink" Target="../03_EVIDENCIAS_Y_MOCKDATA/Capturas_Bugs/Evidencia_BUG-CLI-01.png" TargetMode="External"/><Relationship Id="rId6" Type="http://schemas.openxmlformats.org/officeDocument/2006/relationships/hyperlink" Target="../03_EVIDENCIAS_Y_MOCKDATA/Capturas_Bugs/Evidencia_BUG-PRO-01_regresion.png" TargetMode="External"/><Relationship Id="rId11" Type="http://schemas.openxmlformats.org/officeDocument/2006/relationships/hyperlink" Target="../03_EVIDENCIAS_Y_MOCKDATA/Capturas_Bugs/Evidencia_BUG-REP-02.png" TargetMode="External"/><Relationship Id="rId5" Type="http://schemas.openxmlformats.org/officeDocument/2006/relationships/hyperlink" Target="../03_EVIDENCIAS_Y_MOCKDATA/Capturas_Bugs/Evidencia_BUG-PRO-01.png" TargetMode="External"/><Relationship Id="rId10" Type="http://schemas.openxmlformats.org/officeDocument/2006/relationships/hyperlink" Target="../03_EVIDENCIAS_Y_MOCKDATA/Capturas_Bugs/Evidencia_BUG-REP-01_regresion.png" TargetMode="External"/><Relationship Id="rId4" Type="http://schemas.openxmlformats.org/officeDocument/2006/relationships/hyperlink" Target="../03_EVIDENCIAS_Y_MOCKDATA/Capturas_Bugs/Evidencia_BUG-REC-01_API_regresion.png" TargetMode="External"/><Relationship Id="rId9" Type="http://schemas.openxmlformats.org/officeDocument/2006/relationships/hyperlink" Target="../03_EVIDENCIAS_Y_MOCKDATA/Capturas_Bugs/Evidencia_BUG-REP-01.png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../03_EVIDENCIAS_Y_MOCKDATA/Capturas_Bugs/Evidencia_BUG-PRO-01_listado.png" TargetMode="External"/><Relationship Id="rId18" Type="http://schemas.openxmlformats.org/officeDocument/2006/relationships/hyperlink" Target="../03_EVIDENCIAS_Y_MOCKDATA/Logs_Consola_Servidor/qa_regresion.log" TargetMode="External"/><Relationship Id="rId26" Type="http://schemas.openxmlformats.org/officeDocument/2006/relationships/hyperlink" Target="../03_EVIDENCIAS_Y_MOCKDATA/Capturas_Bugs/Evidencia_BUG-REP-01_API_regresion.png" TargetMode="External"/><Relationship Id="rId3" Type="http://schemas.openxmlformats.org/officeDocument/2006/relationships/hyperlink" Target="../03_EVIDENCIAS_Y_MOCKDATA/Logs_Consola_Servidor/qa_environment_error.log" TargetMode="External"/><Relationship Id="rId21" Type="http://schemas.openxmlformats.org/officeDocument/2006/relationships/hyperlink" Target="../03_EVIDENCIAS_Y_MOCKDATA/Logs_Consola_Servidor/qa_environment_error.log" TargetMode="External"/><Relationship Id="rId34" Type="http://schemas.openxmlformats.org/officeDocument/2006/relationships/hyperlink" Target="../03_EVIDENCIAS_Y_MOCKDATA/Logs_Consola_Servidor/qa_regresion.log" TargetMode="External"/><Relationship Id="rId7" Type="http://schemas.openxmlformats.org/officeDocument/2006/relationships/hyperlink" Target="../03_EVIDENCIAS_Y_MOCKDATA/Capturas_Bugs/Evidencia_BUG-REC-01.png" TargetMode="External"/><Relationship Id="rId12" Type="http://schemas.openxmlformats.org/officeDocument/2006/relationships/hyperlink" Target="../03_EVIDENCIAS_Y_MOCKDATA/Capturas_Bugs/Evidencia_BUG-PRO-01.png" TargetMode="External"/><Relationship Id="rId17" Type="http://schemas.openxmlformats.org/officeDocument/2006/relationships/hyperlink" Target="../03_EVIDENCIAS_Y_MOCKDATA/Capturas_Bugs/Evidencia_BUG-PRO-01_API_regresion.png" TargetMode="External"/><Relationship Id="rId25" Type="http://schemas.openxmlformats.org/officeDocument/2006/relationships/hyperlink" Target="../03_EVIDENCIAS_Y_MOCKDATA/Capturas_Bugs/Evidencia_BUG-REP-01_regresion.png" TargetMode="External"/><Relationship Id="rId33" Type="http://schemas.openxmlformats.org/officeDocument/2006/relationships/hyperlink" Target="../03_EVIDENCIAS_Y_MOCKDATA/Capturas_Bugs/Evidencia_BUG-REP-02_API_regresion.png" TargetMode="External"/><Relationship Id="rId2" Type="http://schemas.openxmlformats.org/officeDocument/2006/relationships/hyperlink" Target="../03_EVIDENCIAS_Y_MOCKDATA/Capturas_Bugs/Evidencia_BUG-CLI-01_API.png" TargetMode="External"/><Relationship Id="rId16" Type="http://schemas.openxmlformats.org/officeDocument/2006/relationships/hyperlink" Target="../03_EVIDENCIAS_Y_MOCKDATA/Capturas_Bugs/Evidencia_BUG-PRO-01_regresion.png" TargetMode="External"/><Relationship Id="rId20" Type="http://schemas.openxmlformats.org/officeDocument/2006/relationships/hyperlink" Target="../03_EVIDENCIAS_Y_MOCKDATA/Capturas_Bugs/Evidencia_BUG-PRO-02_API.png" TargetMode="External"/><Relationship Id="rId29" Type="http://schemas.openxmlformats.org/officeDocument/2006/relationships/hyperlink" Target="../03_EVIDENCIAS_Y_MOCKDATA/Capturas_Bugs/Evidencia_BUG-REP-02.png" TargetMode="External"/><Relationship Id="rId1" Type="http://schemas.openxmlformats.org/officeDocument/2006/relationships/hyperlink" Target="../03_EVIDENCIAS_Y_MOCKDATA/Capturas_Bugs/Evidencia_BUG-CLI-01.png" TargetMode="External"/><Relationship Id="rId6" Type="http://schemas.openxmlformats.org/officeDocument/2006/relationships/hyperlink" Target="../03_EVIDENCIAS_Y_MOCKDATA/Logs_Consola_Servidor/qa_regresion.log" TargetMode="External"/><Relationship Id="rId11" Type="http://schemas.openxmlformats.org/officeDocument/2006/relationships/hyperlink" Target="../03_EVIDENCIAS_Y_MOCKDATA/Logs_Consola_Servidor/qa_regresion.log" TargetMode="External"/><Relationship Id="rId24" Type="http://schemas.openxmlformats.org/officeDocument/2006/relationships/hyperlink" Target="../03_EVIDENCIAS_Y_MOCKDATA/Capturas_Bugs/Evidencia_BUG-REP-01.png" TargetMode="External"/><Relationship Id="rId32" Type="http://schemas.openxmlformats.org/officeDocument/2006/relationships/hyperlink" Target="../03_EVIDENCIAS_Y_MOCKDATA/Capturas_Bugs/Evidencia_BUG-REP-02_regresion.png" TargetMode="External"/><Relationship Id="rId5" Type="http://schemas.openxmlformats.org/officeDocument/2006/relationships/hyperlink" Target="../03_EVIDENCIAS_Y_MOCKDATA/Capturas_Bugs/Evidencia_BUG-CLI-01_API_regresion.png" TargetMode="External"/><Relationship Id="rId15" Type="http://schemas.openxmlformats.org/officeDocument/2006/relationships/hyperlink" Target="../03_EVIDENCIAS_Y_MOCKDATA/Logs_Consola_Servidor/qa_environment_error.log" TargetMode="External"/><Relationship Id="rId23" Type="http://schemas.openxmlformats.org/officeDocument/2006/relationships/hyperlink" Target="../03_EVIDENCIAS_Y_MOCKDATA/Logs_Consola_Servidor/qa_regresion.log" TargetMode="External"/><Relationship Id="rId28" Type="http://schemas.openxmlformats.org/officeDocument/2006/relationships/hyperlink" Target="../03_EVIDENCIAS_Y_MOCKDATA/Archivos_Generados/reporte_pedidos_2026-10-01_2026-10-31.xlsx" TargetMode="External"/><Relationship Id="rId10" Type="http://schemas.openxmlformats.org/officeDocument/2006/relationships/hyperlink" Target="../03_EVIDENCIAS_Y_MOCKDATA/Capturas_Bugs/Evidencia_BUG-REC-01_API_regresion.png" TargetMode="External"/><Relationship Id="rId19" Type="http://schemas.openxmlformats.org/officeDocument/2006/relationships/hyperlink" Target="../03_EVIDENCIAS_Y_MOCKDATA/Capturas_Bugs/Evidencia_BUG-PRO-02.png" TargetMode="External"/><Relationship Id="rId31" Type="http://schemas.openxmlformats.org/officeDocument/2006/relationships/hyperlink" Target="../03_EVIDENCIAS_Y_MOCKDATA/Logs_Consola_Servidor/qa_environment_error.log" TargetMode="External"/><Relationship Id="rId4" Type="http://schemas.openxmlformats.org/officeDocument/2006/relationships/hyperlink" Target="../03_EVIDENCIAS_Y_MOCKDATA/Capturas_Bugs/Evidencia_BUG-CLI-01_regresion.png" TargetMode="External"/><Relationship Id="rId9" Type="http://schemas.openxmlformats.org/officeDocument/2006/relationships/hyperlink" Target="../03_EVIDENCIAS_Y_MOCKDATA/Logs_Consola_Servidor/qa_environment_error.log" TargetMode="External"/><Relationship Id="rId14" Type="http://schemas.openxmlformats.org/officeDocument/2006/relationships/hyperlink" Target="../03_EVIDENCIAS_Y_MOCKDATA/Capturas_Bugs/Evidencia_BUG-PRO-01_API.png" TargetMode="External"/><Relationship Id="rId22" Type="http://schemas.openxmlformats.org/officeDocument/2006/relationships/hyperlink" Target="../03_EVIDENCIAS_Y_MOCKDATA/Capturas_Bugs/Evidencia_BUG-PRO-02_API_regresion.png" TargetMode="External"/><Relationship Id="rId27" Type="http://schemas.openxmlformats.org/officeDocument/2006/relationships/hyperlink" Target="../03_EVIDENCIAS_Y_MOCKDATA/Logs_Consola_Servidor/qa_regresion.log" TargetMode="External"/><Relationship Id="rId30" Type="http://schemas.openxmlformats.org/officeDocument/2006/relationships/hyperlink" Target="../03_EVIDENCIAS_Y_MOCKDATA/Capturas_Bugs/Evidencia_BUG-REP-02_API.png" TargetMode="External"/><Relationship Id="rId35" Type="http://schemas.openxmlformats.org/officeDocument/2006/relationships/table" Target="../tables/table4.xml"/><Relationship Id="rId8" Type="http://schemas.openxmlformats.org/officeDocument/2006/relationships/hyperlink" Target="../03_EVIDENCIAS_Y_MOCKDATA/Capturas_Bugs/Evidencia_BUG-REC-01_API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workbookViewId="0">
      <pane xSplit="5" ySplit="1" topLeftCell="F38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2" customWidth="1"/>
    <col min="3" max="3" width="10" customWidth="1"/>
    <col min="4" max="4" width="28" customWidth="1"/>
    <col min="5" max="5" width="15" customWidth="1"/>
    <col min="6" max="6" width="34" customWidth="1"/>
    <col min="7" max="7" width="20" customWidth="1"/>
    <col min="8" max="8" width="9" customWidth="1"/>
    <col min="9" max="9" width="34" customWidth="1"/>
    <col min="10" max="10" width="40" customWidth="1"/>
    <col min="11" max="12" width="13" customWidth="1"/>
    <col min="13" max="13" width="18" customWidth="1"/>
    <col min="14" max="14" width="16" customWidth="1"/>
    <col min="15" max="15" width="46" customWidth="1"/>
  </cols>
  <sheetData>
    <row r="1" spans="1:15" ht="41.4" customHeight="1" x14ac:dyDescent="0.3">
      <c r="A1" s="15" t="s">
        <v>29</v>
      </c>
      <c r="B1" s="15" t="s">
        <v>30</v>
      </c>
      <c r="C1" s="15" t="s">
        <v>31</v>
      </c>
      <c r="D1" s="15" t="s">
        <v>32</v>
      </c>
      <c r="E1" s="15" t="s">
        <v>33</v>
      </c>
      <c r="F1" s="15" t="s">
        <v>34</v>
      </c>
      <c r="G1" s="15" t="s">
        <v>35</v>
      </c>
      <c r="H1" s="15" t="s">
        <v>36</v>
      </c>
      <c r="I1" s="15" t="s">
        <v>37</v>
      </c>
      <c r="J1" s="15" t="s">
        <v>38</v>
      </c>
      <c r="K1" s="15" t="s">
        <v>39</v>
      </c>
      <c r="L1" s="15" t="s">
        <v>40</v>
      </c>
      <c r="M1" s="15" t="s">
        <v>41</v>
      </c>
      <c r="N1" s="15" t="s">
        <v>42</v>
      </c>
      <c r="O1" s="15" t="s">
        <v>43</v>
      </c>
    </row>
    <row r="2" spans="1:15" ht="55.2" customHeight="1" x14ac:dyDescent="0.3">
      <c r="A2" s="16" t="s">
        <v>44</v>
      </c>
      <c r="B2" s="16" t="s">
        <v>45</v>
      </c>
      <c r="C2" s="16" t="s">
        <v>46</v>
      </c>
      <c r="D2" s="16" t="s">
        <v>47</v>
      </c>
      <c r="E2" s="16" t="s">
        <v>48</v>
      </c>
      <c r="F2" s="16" t="s">
        <v>49</v>
      </c>
      <c r="G2" s="16" t="s">
        <v>50</v>
      </c>
      <c r="H2" s="16" t="s">
        <v>51</v>
      </c>
      <c r="I2" s="16" t="s">
        <v>52</v>
      </c>
      <c r="J2" s="16" t="s">
        <v>53</v>
      </c>
      <c r="K2" s="16" t="str">
        <f>INDEX('Log de Ejecución'!$J$2:$J$41,MATCH($E2,'Log de Ejecución'!$A$2:$A$41,0))</f>
        <v>Pass</v>
      </c>
      <c r="L2" s="16" t="str">
        <f>INDEX('Log de Ejecución'!$O$2:$O$41,MATCH($E2,'Log de Ejecución'!$A$2:$A$41,0))</f>
        <v>Pass</v>
      </c>
      <c r="M2" s="16" t="str">
        <f>INDEX('Log de Ejecución'!$N$2:$N$41,MATCH($E2,'Log de Ejecución'!$A$2:$A$41,0))</f>
        <v>No registrado</v>
      </c>
      <c r="N2" s="16" t="str">
        <f>IFERROR(INDEX('Bug Tracker'!$H$2:$H$200,MATCH(M2,'Bug Tracker'!$A$2:$A$200,0)),"—")</f>
        <v>—</v>
      </c>
      <c r="O2" s="16"/>
    </row>
    <row r="3" spans="1:15" ht="41.4" customHeight="1" x14ac:dyDescent="0.3">
      <c r="A3" s="16" t="s">
        <v>44</v>
      </c>
      <c r="B3" s="16" t="s">
        <v>45</v>
      </c>
      <c r="C3" s="16" t="s">
        <v>46</v>
      </c>
      <c r="D3" s="16" t="s">
        <v>47</v>
      </c>
      <c r="E3" s="16" t="s">
        <v>54</v>
      </c>
      <c r="F3" s="16" t="s">
        <v>55</v>
      </c>
      <c r="G3" s="16" t="s">
        <v>50</v>
      </c>
      <c r="H3" s="16" t="s">
        <v>56</v>
      </c>
      <c r="I3" s="16" t="s">
        <v>57</v>
      </c>
      <c r="J3" s="16" t="s">
        <v>58</v>
      </c>
      <c r="K3" s="16" t="str">
        <f>INDEX('Log de Ejecución'!$J$2:$J$41,MATCH($E3,'Log de Ejecución'!$A$2:$A$41,0))</f>
        <v>Pass</v>
      </c>
      <c r="L3" s="16" t="str">
        <f>INDEX('Log de Ejecución'!$O$2:$O$41,MATCH($E3,'Log de Ejecución'!$A$2:$A$41,0))</f>
        <v>Pass</v>
      </c>
      <c r="M3" s="16" t="str">
        <f>INDEX('Log de Ejecución'!$N$2:$N$41,MATCH($E3,'Log de Ejecución'!$A$2:$A$41,0))</f>
        <v>No registrado</v>
      </c>
      <c r="N3" s="16" t="str">
        <f>IFERROR(INDEX('Bug Tracker'!$H$2:$H$200,MATCH(M3,'Bug Tracker'!$A$2:$A$200,0)),"—")</f>
        <v>—</v>
      </c>
      <c r="O3" s="16"/>
    </row>
    <row r="4" spans="1:15" ht="55.2" customHeight="1" x14ac:dyDescent="0.3">
      <c r="A4" s="16" t="s">
        <v>44</v>
      </c>
      <c r="B4" s="16" t="s">
        <v>45</v>
      </c>
      <c r="C4" s="16" t="s">
        <v>59</v>
      </c>
      <c r="D4" s="16" t="s">
        <v>60</v>
      </c>
      <c r="E4" s="16" t="s">
        <v>61</v>
      </c>
      <c r="F4" s="16" t="s">
        <v>62</v>
      </c>
      <c r="G4" s="16" t="s">
        <v>63</v>
      </c>
      <c r="H4" s="16" t="s">
        <v>64</v>
      </c>
      <c r="I4" s="16" t="s">
        <v>65</v>
      </c>
      <c r="J4" s="16" t="s">
        <v>66</v>
      </c>
      <c r="K4" s="16" t="str">
        <f>INDEX('Log de Ejecución'!$J$2:$J$41,MATCH($E4,'Log de Ejecución'!$A$2:$A$41,0))</f>
        <v>Pass</v>
      </c>
      <c r="L4" s="16" t="str">
        <f>INDEX('Log de Ejecución'!$O$2:$O$41,MATCH($E4,'Log de Ejecución'!$A$2:$A$41,0))</f>
        <v>Pass</v>
      </c>
      <c r="M4" s="16" t="str">
        <f>INDEX('Log de Ejecución'!$N$2:$N$41,MATCH($E4,'Log de Ejecución'!$A$2:$A$41,0))</f>
        <v>No registrado</v>
      </c>
      <c r="N4" s="16" t="str">
        <f>IFERROR(INDEX('Bug Tracker'!$H$2:$H$200,MATCH(M4,'Bug Tracker'!$A$2:$A$200,0)),"—")</f>
        <v>—</v>
      </c>
      <c r="O4" s="16" t="s">
        <v>67</v>
      </c>
    </row>
    <row r="5" spans="1:15" ht="55.2" customHeight="1" x14ac:dyDescent="0.3">
      <c r="A5" s="16" t="s">
        <v>44</v>
      </c>
      <c r="B5" s="16" t="s">
        <v>45</v>
      </c>
      <c r="C5" s="16" t="s">
        <v>59</v>
      </c>
      <c r="D5" s="16" t="s">
        <v>60</v>
      </c>
      <c r="E5" s="16" t="s">
        <v>68</v>
      </c>
      <c r="F5" s="16" t="s">
        <v>69</v>
      </c>
      <c r="G5" s="16" t="s">
        <v>63</v>
      </c>
      <c r="H5" s="16" t="s">
        <v>70</v>
      </c>
      <c r="I5" s="16" t="s">
        <v>71</v>
      </c>
      <c r="J5" s="16" t="s">
        <v>72</v>
      </c>
      <c r="K5" s="16" t="str">
        <f>INDEX('Log de Ejecución'!$J$2:$J$41,MATCH($E5,'Log de Ejecución'!$A$2:$A$41,0))</f>
        <v>Pass</v>
      </c>
      <c r="L5" s="16" t="str">
        <f>INDEX('Log de Ejecución'!$O$2:$O$41,MATCH($E5,'Log de Ejecución'!$A$2:$A$41,0))</f>
        <v>Pass</v>
      </c>
      <c r="M5" s="16" t="str">
        <f>INDEX('Log de Ejecución'!$N$2:$N$41,MATCH($E5,'Log de Ejecución'!$A$2:$A$41,0))</f>
        <v>No registrado</v>
      </c>
      <c r="N5" s="16" t="str">
        <f>IFERROR(INDEX('Bug Tracker'!$H$2:$H$200,MATCH(M5,'Bug Tracker'!$A$2:$A$200,0)),"—")</f>
        <v>—</v>
      </c>
      <c r="O5" s="16" t="s">
        <v>67</v>
      </c>
    </row>
    <row r="6" spans="1:15" ht="41.4" customHeight="1" x14ac:dyDescent="0.3">
      <c r="A6" s="16" t="s">
        <v>44</v>
      </c>
      <c r="B6" s="16" t="s">
        <v>73</v>
      </c>
      <c r="C6" s="16" t="s">
        <v>74</v>
      </c>
      <c r="D6" s="16" t="s">
        <v>75</v>
      </c>
      <c r="E6" s="16" t="s">
        <v>76</v>
      </c>
      <c r="F6" s="16" t="s">
        <v>77</v>
      </c>
      <c r="G6" s="16" t="s">
        <v>50</v>
      </c>
      <c r="H6" s="16" t="s">
        <v>78</v>
      </c>
      <c r="I6" s="16" t="s">
        <v>79</v>
      </c>
      <c r="J6" s="16" t="s">
        <v>80</v>
      </c>
      <c r="K6" s="16" t="str">
        <f>INDEX('Log de Ejecución'!$J$2:$J$41,MATCH($E6,'Log de Ejecución'!$A$2:$A$41,0))</f>
        <v>Fail</v>
      </c>
      <c r="L6" s="16" t="str">
        <f>INDEX('Log de Ejecución'!$O$2:$O$41,MATCH($E6,'Log de Ejecución'!$A$2:$A$41,0))</f>
        <v>Pass</v>
      </c>
      <c r="M6" s="16" t="str">
        <f>INDEX('Log de Ejecución'!$N$2:$N$41,MATCH($E6,'Log de Ejecución'!$A$2:$A$41,0))</f>
        <v>BUG-CLI-01</v>
      </c>
      <c r="N6" s="16" t="str">
        <f>IFERROR(INDEX('Bug Tracker'!$H$2:$H$200,MATCH(M6,'Bug Tracker'!$A$2:$A$200,0)),"—")</f>
        <v>Cerrado</v>
      </c>
      <c r="O6" s="16" t="s">
        <v>81</v>
      </c>
    </row>
    <row r="7" spans="1:15" ht="41.4" customHeight="1" x14ac:dyDescent="0.3">
      <c r="A7" s="16" t="s">
        <v>44</v>
      </c>
      <c r="B7" s="16" t="s">
        <v>45</v>
      </c>
      <c r="C7" s="16" t="s">
        <v>82</v>
      </c>
      <c r="D7" s="16" t="s">
        <v>83</v>
      </c>
      <c r="E7" s="16" t="s">
        <v>84</v>
      </c>
      <c r="F7" s="16" t="s">
        <v>85</v>
      </c>
      <c r="G7" s="16" t="s">
        <v>86</v>
      </c>
      <c r="H7" s="16" t="s">
        <v>87</v>
      </c>
      <c r="I7" s="16" t="s">
        <v>88</v>
      </c>
      <c r="J7" s="16" t="s">
        <v>89</v>
      </c>
      <c r="K7" s="16" t="str">
        <f>INDEX('Log de Ejecución'!$J$2:$J$41,MATCH($E7,'Log de Ejecución'!$A$2:$A$41,0))</f>
        <v>Pass</v>
      </c>
      <c r="L7" s="16" t="str">
        <f>INDEX('Log de Ejecución'!$O$2:$O$41,MATCH($E7,'Log de Ejecución'!$A$2:$A$41,0))</f>
        <v>Pass</v>
      </c>
      <c r="M7" s="16" t="str">
        <f>INDEX('Log de Ejecución'!$N$2:$N$41,MATCH($E7,'Log de Ejecución'!$A$2:$A$41,0))</f>
        <v>No registrado</v>
      </c>
      <c r="N7" s="16" t="str">
        <f>IFERROR(INDEX('Bug Tracker'!$H$2:$H$200,MATCH(M7,'Bug Tracker'!$A$2:$A$200,0)),"—")</f>
        <v>—</v>
      </c>
      <c r="O7" s="16" t="s">
        <v>90</v>
      </c>
    </row>
    <row r="8" spans="1:15" ht="41.4" customHeight="1" x14ac:dyDescent="0.3">
      <c r="A8" s="16" t="s">
        <v>44</v>
      </c>
      <c r="B8" s="16" t="s">
        <v>45</v>
      </c>
      <c r="C8" s="16" t="s">
        <v>82</v>
      </c>
      <c r="D8" s="16" t="s">
        <v>83</v>
      </c>
      <c r="E8" s="16" t="s">
        <v>91</v>
      </c>
      <c r="F8" s="16" t="s">
        <v>92</v>
      </c>
      <c r="G8" s="16" t="s">
        <v>86</v>
      </c>
      <c r="H8" s="16" t="s">
        <v>93</v>
      </c>
      <c r="I8" s="16" t="s">
        <v>94</v>
      </c>
      <c r="J8" s="16" t="s">
        <v>95</v>
      </c>
      <c r="K8" s="16" t="str">
        <f>INDEX('Log de Ejecución'!$J$2:$J$41,MATCH($E8,'Log de Ejecución'!$A$2:$A$41,0))</f>
        <v>Pass</v>
      </c>
      <c r="L8" s="16" t="str">
        <f>INDEX('Log de Ejecución'!$O$2:$O$41,MATCH($E8,'Log de Ejecución'!$A$2:$A$41,0))</f>
        <v>Pass</v>
      </c>
      <c r="M8" s="16" t="str">
        <f>INDEX('Log de Ejecución'!$N$2:$N$41,MATCH($E8,'Log de Ejecución'!$A$2:$A$41,0))</f>
        <v>No registrado</v>
      </c>
      <c r="N8" s="16" t="str">
        <f>IFERROR(INDEX('Bug Tracker'!$H$2:$H$200,MATCH(M8,'Bug Tracker'!$A$2:$A$200,0)),"—")</f>
        <v>—</v>
      </c>
      <c r="O8" s="16" t="s">
        <v>90</v>
      </c>
    </row>
    <row r="9" spans="1:15" ht="41.4" customHeight="1" x14ac:dyDescent="0.3">
      <c r="A9" s="16" t="s">
        <v>44</v>
      </c>
      <c r="B9" s="16" t="s">
        <v>45</v>
      </c>
      <c r="C9" s="16" t="s">
        <v>82</v>
      </c>
      <c r="D9" s="16" t="s">
        <v>83</v>
      </c>
      <c r="E9" s="16" t="s">
        <v>96</v>
      </c>
      <c r="F9" s="16" t="s">
        <v>97</v>
      </c>
      <c r="G9" s="16" t="s">
        <v>86</v>
      </c>
      <c r="H9" s="16" t="s">
        <v>98</v>
      </c>
      <c r="I9" s="16" t="s">
        <v>99</v>
      </c>
      <c r="J9" s="16" t="s">
        <v>100</v>
      </c>
      <c r="K9" s="16" t="str">
        <f>INDEX('Log de Ejecución'!$J$2:$J$41,MATCH($E9,'Log de Ejecución'!$A$2:$A$41,0))</f>
        <v>Pass</v>
      </c>
      <c r="L9" s="16" t="str">
        <f>INDEX('Log de Ejecución'!$O$2:$O$41,MATCH($E9,'Log de Ejecución'!$A$2:$A$41,0))</f>
        <v>Pass</v>
      </c>
      <c r="M9" s="16" t="str">
        <f>INDEX('Log de Ejecución'!$N$2:$N$41,MATCH($E9,'Log de Ejecución'!$A$2:$A$41,0))</f>
        <v>No registrado</v>
      </c>
      <c r="N9" s="16" t="str">
        <f>IFERROR(INDEX('Bug Tracker'!$H$2:$H$200,MATCH(M9,'Bug Tracker'!$A$2:$A$200,0)),"—")</f>
        <v>—</v>
      </c>
      <c r="O9" s="16" t="s">
        <v>90</v>
      </c>
    </row>
    <row r="10" spans="1:15" ht="55.2" customHeight="1" x14ac:dyDescent="0.3">
      <c r="A10" s="16" t="s">
        <v>101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6" t="s">
        <v>50</v>
      </c>
      <c r="H10" s="16" t="s">
        <v>107</v>
      </c>
      <c r="I10" s="16" t="s">
        <v>108</v>
      </c>
      <c r="J10" s="16" t="s">
        <v>109</v>
      </c>
      <c r="K10" s="16" t="str">
        <f>INDEX('Log de Ejecución'!$J$2:$J$41,MATCH($E10,'Log de Ejecución'!$A$2:$A$41,0))</f>
        <v>Skipped</v>
      </c>
      <c r="L10" s="16" t="str">
        <f>INDEX('Log de Ejecución'!$O$2:$O$41,MATCH($E10,'Log de Ejecución'!$A$2:$A$41,0))</f>
        <v>Skipped</v>
      </c>
      <c r="M10" s="16" t="str">
        <f>INDEX('Log de Ejecución'!$N$2:$N$41,MATCH($E10,'Log de Ejecución'!$A$2:$A$41,0))</f>
        <v>N/A – fuera de alcance</v>
      </c>
      <c r="N10" s="16" t="str">
        <f>IFERROR(INDEX('Bug Tracker'!$H$2:$H$200,MATCH(M10,'Bug Tracker'!$A$2:$A$200,0)),"—")</f>
        <v>—</v>
      </c>
      <c r="O10" s="16" t="s">
        <v>110</v>
      </c>
    </row>
    <row r="11" spans="1:15" ht="55.2" customHeight="1" x14ac:dyDescent="0.3">
      <c r="A11" s="16" t="s">
        <v>101</v>
      </c>
      <c r="B11" s="16" t="s">
        <v>102</v>
      </c>
      <c r="C11" s="16" t="s">
        <v>103</v>
      </c>
      <c r="D11" s="16" t="s">
        <v>104</v>
      </c>
      <c r="E11" s="16" t="s">
        <v>111</v>
      </c>
      <c r="F11" s="16" t="s">
        <v>112</v>
      </c>
      <c r="G11" s="16" t="s">
        <v>50</v>
      </c>
      <c r="H11" s="16" t="s">
        <v>113</v>
      </c>
      <c r="I11" s="16" t="s">
        <v>114</v>
      </c>
      <c r="J11" s="16" t="s">
        <v>115</v>
      </c>
      <c r="K11" s="16" t="str">
        <f>INDEX('Log de Ejecución'!$J$2:$J$41,MATCH($E11,'Log de Ejecución'!$A$2:$A$41,0))</f>
        <v>Fail</v>
      </c>
      <c r="L11" s="16" t="str">
        <f>INDEX('Log de Ejecución'!$O$2:$O$41,MATCH($E11,'Log de Ejecución'!$A$2:$A$41,0))</f>
        <v>Pass</v>
      </c>
      <c r="M11" s="16" t="str">
        <f>INDEX('Log de Ejecución'!$N$2:$N$41,MATCH($E11,'Log de Ejecución'!$A$2:$A$41,0))</f>
        <v>BUG-REC-01</v>
      </c>
      <c r="N11" s="16" t="str">
        <f>IFERROR(INDEX('Bug Tracker'!$H$2:$H$200,MATCH(M11,'Bug Tracker'!$A$2:$A$200,0)),"—")</f>
        <v>Cerrado</v>
      </c>
      <c r="O11" s="16" t="s">
        <v>116</v>
      </c>
    </row>
    <row r="12" spans="1:15" ht="41.4" customHeight="1" x14ac:dyDescent="0.3">
      <c r="A12" s="16" t="s">
        <v>101</v>
      </c>
      <c r="B12" s="16" t="s">
        <v>117</v>
      </c>
      <c r="C12" s="16" t="s">
        <v>118</v>
      </c>
      <c r="D12" s="16" t="s">
        <v>119</v>
      </c>
      <c r="E12" s="16" t="s">
        <v>120</v>
      </c>
      <c r="F12" s="16" t="s">
        <v>121</v>
      </c>
      <c r="G12" s="16" t="s">
        <v>86</v>
      </c>
      <c r="H12" s="16" t="s">
        <v>122</v>
      </c>
      <c r="I12" s="16" t="s">
        <v>123</v>
      </c>
      <c r="J12" s="16" t="s">
        <v>124</v>
      </c>
      <c r="K12" s="16" t="str">
        <f>INDEX('Log de Ejecución'!$J$2:$J$41,MATCH($E12,'Log de Ejecución'!$A$2:$A$41,0))</f>
        <v>Pass</v>
      </c>
      <c r="L12" s="16" t="str">
        <f>INDEX('Log de Ejecución'!$O$2:$O$41,MATCH($E12,'Log de Ejecución'!$A$2:$A$41,0))</f>
        <v>Pass</v>
      </c>
      <c r="M12" s="16" t="str">
        <f>INDEX('Log de Ejecución'!$N$2:$N$41,MATCH($E12,'Log de Ejecución'!$A$2:$A$41,0))</f>
        <v>No registrado</v>
      </c>
      <c r="N12" s="16" t="str">
        <f>IFERROR(INDEX('Bug Tracker'!$H$2:$H$200,MATCH(M12,'Bug Tracker'!$A$2:$A$200,0)),"—")</f>
        <v>—</v>
      </c>
      <c r="O12" s="16"/>
    </row>
    <row r="13" spans="1:15" ht="41.4" customHeight="1" x14ac:dyDescent="0.3">
      <c r="A13" s="16" t="s">
        <v>101</v>
      </c>
      <c r="B13" s="16" t="s">
        <v>117</v>
      </c>
      <c r="C13" s="16" t="s">
        <v>118</v>
      </c>
      <c r="D13" s="16" t="s">
        <v>119</v>
      </c>
      <c r="E13" s="16" t="s">
        <v>125</v>
      </c>
      <c r="F13" s="16" t="s">
        <v>126</v>
      </c>
      <c r="G13" s="16" t="s">
        <v>86</v>
      </c>
      <c r="H13" s="16" t="s">
        <v>127</v>
      </c>
      <c r="I13" s="16" t="s">
        <v>128</v>
      </c>
      <c r="J13" s="16" t="s">
        <v>129</v>
      </c>
      <c r="K13" s="16" t="str">
        <f>INDEX('Log de Ejecución'!$J$2:$J$41,MATCH($E13,'Log de Ejecución'!$A$2:$A$41,0))</f>
        <v>Pass</v>
      </c>
      <c r="L13" s="16" t="str">
        <f>INDEX('Log de Ejecución'!$O$2:$O$41,MATCH($E13,'Log de Ejecución'!$A$2:$A$41,0))</f>
        <v>Pass</v>
      </c>
      <c r="M13" s="16" t="str">
        <f>INDEX('Log de Ejecución'!$N$2:$N$41,MATCH($E13,'Log de Ejecución'!$A$2:$A$41,0))</f>
        <v>No registrado</v>
      </c>
      <c r="N13" s="16" t="str">
        <f>IFERROR(INDEX('Bug Tracker'!$H$2:$H$200,MATCH(M13,'Bug Tracker'!$A$2:$A$200,0)),"—")</f>
        <v>—</v>
      </c>
      <c r="O13" s="16" t="s">
        <v>130</v>
      </c>
    </row>
    <row r="14" spans="1:15" ht="41.4" customHeight="1" x14ac:dyDescent="0.3">
      <c r="A14" s="16" t="s">
        <v>101</v>
      </c>
      <c r="B14" s="16" t="s">
        <v>117</v>
      </c>
      <c r="C14" s="16" t="s">
        <v>118</v>
      </c>
      <c r="D14" s="16" t="s">
        <v>119</v>
      </c>
      <c r="E14" s="16" t="s">
        <v>131</v>
      </c>
      <c r="F14" s="16" t="s">
        <v>132</v>
      </c>
      <c r="G14" s="16" t="s">
        <v>86</v>
      </c>
      <c r="H14" s="16" t="s">
        <v>133</v>
      </c>
      <c r="I14" s="16" t="s">
        <v>134</v>
      </c>
      <c r="J14" s="16" t="s">
        <v>135</v>
      </c>
      <c r="K14" s="16" t="str">
        <f>INDEX('Log de Ejecución'!$J$2:$J$41,MATCH($E14,'Log de Ejecución'!$A$2:$A$41,0))</f>
        <v>Pass</v>
      </c>
      <c r="L14" s="16" t="str">
        <f>INDEX('Log de Ejecución'!$O$2:$O$41,MATCH($E14,'Log de Ejecución'!$A$2:$A$41,0))</f>
        <v>Pass</v>
      </c>
      <c r="M14" s="16" t="str">
        <f>INDEX('Log de Ejecución'!$N$2:$N$41,MATCH($E14,'Log de Ejecución'!$A$2:$A$41,0))</f>
        <v>No registrado</v>
      </c>
      <c r="N14" s="16" t="str">
        <f>IFERROR(INDEX('Bug Tracker'!$H$2:$H$200,MATCH(M14,'Bug Tracker'!$A$2:$A$200,0)),"—")</f>
        <v>—</v>
      </c>
      <c r="O14" s="16" t="s">
        <v>130</v>
      </c>
    </row>
    <row r="15" spans="1:15" ht="69" customHeight="1" x14ac:dyDescent="0.3">
      <c r="A15" s="16" t="s">
        <v>101</v>
      </c>
      <c r="B15" s="16" t="s">
        <v>102</v>
      </c>
      <c r="C15" s="16" t="s">
        <v>136</v>
      </c>
      <c r="D15" s="16" t="s">
        <v>137</v>
      </c>
      <c r="E15" s="16" t="s">
        <v>138</v>
      </c>
      <c r="F15" s="16" t="s">
        <v>139</v>
      </c>
      <c r="G15" s="16" t="s">
        <v>50</v>
      </c>
      <c r="H15" s="16" t="s">
        <v>140</v>
      </c>
      <c r="I15" s="16" t="s">
        <v>141</v>
      </c>
      <c r="J15" s="16" t="s">
        <v>142</v>
      </c>
      <c r="K15" s="16" t="str">
        <f>INDEX('Log de Ejecución'!$J$2:$J$41,MATCH($E15,'Log de Ejecución'!$A$2:$A$41,0))</f>
        <v>Skipped</v>
      </c>
      <c r="L15" s="16" t="str">
        <f>INDEX('Log de Ejecución'!$O$2:$O$41,MATCH($E15,'Log de Ejecución'!$A$2:$A$41,0))</f>
        <v>Skipped</v>
      </c>
      <c r="M15" s="16" t="str">
        <f>INDEX('Log de Ejecución'!$N$2:$N$41,MATCH($E15,'Log de Ejecución'!$A$2:$A$41,0))</f>
        <v>N/A – fuera de alcance</v>
      </c>
      <c r="N15" s="16" t="str">
        <f>IFERROR(INDEX('Bug Tracker'!$H$2:$H$200,MATCH(M15,'Bug Tracker'!$A$2:$A$200,0)),"—")</f>
        <v>—</v>
      </c>
      <c r="O15" s="16" t="s">
        <v>110</v>
      </c>
    </row>
    <row r="16" spans="1:15" ht="55.2" customHeight="1" x14ac:dyDescent="0.3">
      <c r="A16" s="16" t="s">
        <v>101</v>
      </c>
      <c r="B16" s="16" t="s">
        <v>117</v>
      </c>
      <c r="C16" s="16" t="s">
        <v>143</v>
      </c>
      <c r="D16" s="16" t="s">
        <v>144</v>
      </c>
      <c r="E16" s="16" t="s">
        <v>145</v>
      </c>
      <c r="F16" s="16" t="s">
        <v>146</v>
      </c>
      <c r="G16" s="16" t="s">
        <v>147</v>
      </c>
      <c r="H16" s="16" t="s">
        <v>148</v>
      </c>
      <c r="I16" s="16" t="s">
        <v>149</v>
      </c>
      <c r="J16" s="16" t="s">
        <v>150</v>
      </c>
      <c r="K16" s="16" t="str">
        <f>INDEX('Log de Ejecución'!$J$2:$J$41,MATCH($E16,'Log de Ejecución'!$A$2:$A$41,0))</f>
        <v>Pass</v>
      </c>
      <c r="L16" s="16" t="str">
        <f>INDEX('Log de Ejecución'!$O$2:$O$41,MATCH($E16,'Log de Ejecución'!$A$2:$A$41,0))</f>
        <v>Pass</v>
      </c>
      <c r="M16" s="16" t="str">
        <f>INDEX('Log de Ejecución'!$N$2:$N$41,MATCH($E16,'Log de Ejecución'!$A$2:$A$41,0))</f>
        <v>No registrado</v>
      </c>
      <c r="N16" s="16" t="str">
        <f>IFERROR(INDEX('Bug Tracker'!$H$2:$H$200,MATCH(M16,'Bug Tracker'!$A$2:$A$200,0)),"—")</f>
        <v>—</v>
      </c>
      <c r="O16" s="16" t="s">
        <v>151</v>
      </c>
    </row>
    <row r="17" spans="1:15" ht="41.4" customHeight="1" x14ac:dyDescent="0.3">
      <c r="A17" s="16" t="s">
        <v>101</v>
      </c>
      <c r="B17" s="16" t="s">
        <v>117</v>
      </c>
      <c r="C17" s="16" t="s">
        <v>143</v>
      </c>
      <c r="D17" s="16" t="s">
        <v>144</v>
      </c>
      <c r="E17" s="16" t="s">
        <v>152</v>
      </c>
      <c r="F17" s="16" t="s">
        <v>153</v>
      </c>
      <c r="G17" s="16" t="s">
        <v>147</v>
      </c>
      <c r="H17" s="16" t="s">
        <v>154</v>
      </c>
      <c r="I17" s="16" t="s">
        <v>155</v>
      </c>
      <c r="J17" s="16" t="s">
        <v>156</v>
      </c>
      <c r="K17" s="16" t="str">
        <f>INDEX('Log de Ejecución'!$J$2:$J$41,MATCH($E17,'Log de Ejecución'!$A$2:$A$41,0))</f>
        <v>Pass</v>
      </c>
      <c r="L17" s="16" t="str">
        <f>INDEX('Log de Ejecución'!$O$2:$O$41,MATCH($E17,'Log de Ejecución'!$A$2:$A$41,0))</f>
        <v>Pass</v>
      </c>
      <c r="M17" s="16" t="str">
        <f>INDEX('Log de Ejecución'!$N$2:$N$41,MATCH($E17,'Log de Ejecución'!$A$2:$A$41,0))</f>
        <v>No registrado</v>
      </c>
      <c r="N17" s="16" t="str">
        <f>IFERROR(INDEX('Bug Tracker'!$H$2:$H$200,MATCH(M17,'Bug Tracker'!$A$2:$A$200,0)),"—")</f>
        <v>—</v>
      </c>
      <c r="O17" s="16" t="s">
        <v>151</v>
      </c>
    </row>
    <row r="18" spans="1:15" ht="82.8" customHeight="1" x14ac:dyDescent="0.3">
      <c r="A18" s="16" t="s">
        <v>157</v>
      </c>
      <c r="B18" s="16" t="s">
        <v>158</v>
      </c>
      <c r="C18" s="16" t="s">
        <v>159</v>
      </c>
      <c r="D18" s="16" t="s">
        <v>160</v>
      </c>
      <c r="E18" s="16" t="s">
        <v>161</v>
      </c>
      <c r="F18" s="16" t="s">
        <v>162</v>
      </c>
      <c r="G18" s="16" t="s">
        <v>50</v>
      </c>
      <c r="H18" s="16" t="s">
        <v>163</v>
      </c>
      <c r="I18" s="16" t="s">
        <v>164</v>
      </c>
      <c r="J18" s="16" t="s">
        <v>165</v>
      </c>
      <c r="K18" s="16" t="str">
        <f>INDEX('Log de Ejecución'!$J$2:$J$41,MATCH($E18,'Log de Ejecución'!$A$2:$A$41,0))</f>
        <v>Pass</v>
      </c>
      <c r="L18" s="16" t="str">
        <f>INDEX('Log de Ejecución'!$O$2:$O$41,MATCH($E18,'Log de Ejecución'!$A$2:$A$41,0))</f>
        <v>Pass</v>
      </c>
      <c r="M18" s="16" t="str">
        <f>INDEX('Log de Ejecución'!$N$2:$N$41,MATCH($E18,'Log de Ejecución'!$A$2:$A$41,0))</f>
        <v>No registrado</v>
      </c>
      <c r="N18" s="16" t="str">
        <f>IFERROR(INDEX('Bug Tracker'!$H$2:$H$200,MATCH(M18,'Bug Tracker'!$A$2:$A$200,0)),"—")</f>
        <v>—</v>
      </c>
      <c r="O18" s="16"/>
    </row>
    <row r="19" spans="1:15" ht="69" customHeight="1" x14ac:dyDescent="0.3">
      <c r="A19" s="16" t="s">
        <v>157</v>
      </c>
      <c r="B19" s="16" t="s">
        <v>158</v>
      </c>
      <c r="C19" s="16" t="s">
        <v>159</v>
      </c>
      <c r="D19" s="16" t="s">
        <v>160</v>
      </c>
      <c r="E19" s="16" t="s">
        <v>166</v>
      </c>
      <c r="F19" s="16" t="s">
        <v>167</v>
      </c>
      <c r="G19" s="16" t="s">
        <v>50</v>
      </c>
      <c r="H19" s="16" t="s">
        <v>168</v>
      </c>
      <c r="I19" s="16" t="s">
        <v>169</v>
      </c>
      <c r="J19" s="16" t="s">
        <v>170</v>
      </c>
      <c r="K19" s="16" t="str">
        <f>INDEX('Log de Ejecución'!$J$2:$J$41,MATCH($E19,'Log de Ejecución'!$A$2:$A$41,0))</f>
        <v>Fail</v>
      </c>
      <c r="L19" s="16" t="str">
        <f>INDEX('Log de Ejecución'!$O$2:$O$41,MATCH($E19,'Log de Ejecución'!$A$2:$A$41,0))</f>
        <v>Pass</v>
      </c>
      <c r="M19" s="16" t="str">
        <f>INDEX('Log de Ejecución'!$N$2:$N$41,MATCH($E19,'Log de Ejecución'!$A$2:$A$41,0))</f>
        <v>BUG-PRO-01</v>
      </c>
      <c r="N19" s="16" t="str">
        <f>IFERROR(INDEX('Bug Tracker'!$H$2:$H$200,MATCH(M19,'Bug Tracker'!$A$2:$A$200,0)),"—")</f>
        <v>Cerrado</v>
      </c>
      <c r="O19" s="16" t="s">
        <v>171</v>
      </c>
    </row>
    <row r="20" spans="1:15" ht="69" customHeight="1" x14ac:dyDescent="0.3">
      <c r="A20" s="16" t="s">
        <v>157</v>
      </c>
      <c r="B20" s="16" t="s">
        <v>172</v>
      </c>
      <c r="C20" s="16" t="s">
        <v>173</v>
      </c>
      <c r="D20" s="16" t="s">
        <v>174</v>
      </c>
      <c r="E20" s="16" t="s">
        <v>175</v>
      </c>
      <c r="F20" s="16" t="s">
        <v>176</v>
      </c>
      <c r="G20" s="16" t="s">
        <v>63</v>
      </c>
      <c r="H20" s="16" t="s">
        <v>177</v>
      </c>
      <c r="I20" s="16" t="s">
        <v>178</v>
      </c>
      <c r="J20" s="16" t="s">
        <v>179</v>
      </c>
      <c r="K20" s="16" t="str">
        <f>INDEX('Log de Ejecución'!$J$2:$J$41,MATCH($E20,'Log de Ejecución'!$A$2:$A$41,0))</f>
        <v>Pass</v>
      </c>
      <c r="L20" s="16" t="str">
        <f>INDEX('Log de Ejecución'!$O$2:$O$41,MATCH($E20,'Log de Ejecución'!$A$2:$A$41,0))</f>
        <v>Pass</v>
      </c>
      <c r="M20" s="16" t="str">
        <f>INDEX('Log de Ejecución'!$N$2:$N$41,MATCH($E20,'Log de Ejecución'!$A$2:$A$41,0))</f>
        <v>No registrado</v>
      </c>
      <c r="N20" s="16" t="str">
        <f>IFERROR(INDEX('Bug Tracker'!$H$2:$H$200,MATCH(M20,'Bug Tracker'!$A$2:$A$200,0)),"—")</f>
        <v>—</v>
      </c>
      <c r="O20" s="16"/>
    </row>
    <row r="21" spans="1:15" ht="82.8" customHeight="1" x14ac:dyDescent="0.3">
      <c r="A21" s="16" t="s">
        <v>157</v>
      </c>
      <c r="B21" s="16" t="s">
        <v>172</v>
      </c>
      <c r="C21" s="16" t="s">
        <v>173</v>
      </c>
      <c r="D21" s="16" t="s">
        <v>174</v>
      </c>
      <c r="E21" s="16" t="s">
        <v>180</v>
      </c>
      <c r="F21" s="16" t="s">
        <v>181</v>
      </c>
      <c r="G21" s="16" t="s">
        <v>63</v>
      </c>
      <c r="H21" s="16" t="s">
        <v>182</v>
      </c>
      <c r="I21" s="16" t="s">
        <v>183</v>
      </c>
      <c r="J21" s="16" t="s">
        <v>184</v>
      </c>
      <c r="K21" s="16" t="str">
        <f>INDEX('Log de Ejecución'!$J$2:$J$41,MATCH($E21,'Log de Ejecución'!$A$2:$A$41,0))</f>
        <v>Pass</v>
      </c>
      <c r="L21" s="16" t="str">
        <f>INDEX('Log de Ejecución'!$O$2:$O$41,MATCH($E21,'Log de Ejecución'!$A$2:$A$41,0))</f>
        <v>Pass</v>
      </c>
      <c r="M21" s="16" t="str">
        <f>INDEX('Log de Ejecución'!$N$2:$N$41,MATCH($E21,'Log de Ejecución'!$A$2:$A$41,0))</f>
        <v>No registrado</v>
      </c>
      <c r="N21" s="16" t="str">
        <f>IFERROR(INDEX('Bug Tracker'!$H$2:$H$200,MATCH(M21,'Bug Tracker'!$A$2:$A$200,0)),"—")</f>
        <v>—</v>
      </c>
      <c r="O21" s="16"/>
    </row>
    <row r="22" spans="1:15" ht="82.8" customHeight="1" x14ac:dyDescent="0.3">
      <c r="A22" s="16" t="s">
        <v>157</v>
      </c>
      <c r="B22" s="16" t="s">
        <v>172</v>
      </c>
      <c r="C22" s="16" t="s">
        <v>173</v>
      </c>
      <c r="D22" s="16" t="s">
        <v>174</v>
      </c>
      <c r="E22" s="16" t="s">
        <v>185</v>
      </c>
      <c r="F22" s="16" t="s">
        <v>186</v>
      </c>
      <c r="G22" s="16" t="s">
        <v>63</v>
      </c>
      <c r="H22" s="16" t="s">
        <v>187</v>
      </c>
      <c r="I22" s="16" t="s">
        <v>188</v>
      </c>
      <c r="J22" s="16" t="s">
        <v>189</v>
      </c>
      <c r="K22" s="16" t="str">
        <f>INDEX('Log de Ejecución'!$J$2:$J$41,MATCH($E22,'Log de Ejecución'!$A$2:$A$41,0))</f>
        <v>Pass</v>
      </c>
      <c r="L22" s="16" t="str">
        <f>INDEX('Log de Ejecución'!$O$2:$O$41,MATCH($E22,'Log de Ejecución'!$A$2:$A$41,0))</f>
        <v>Pass</v>
      </c>
      <c r="M22" s="16" t="str">
        <f>INDEX('Log de Ejecución'!$N$2:$N$41,MATCH($E22,'Log de Ejecución'!$A$2:$A$41,0))</f>
        <v>No registrado</v>
      </c>
      <c r="N22" s="16" t="str">
        <f>IFERROR(INDEX('Bug Tracker'!$H$2:$H$200,MATCH(M22,'Bug Tracker'!$A$2:$A$200,0)),"—")</f>
        <v>—</v>
      </c>
      <c r="O22" s="16" t="s">
        <v>190</v>
      </c>
    </row>
    <row r="23" spans="1:15" ht="69" customHeight="1" x14ac:dyDescent="0.3">
      <c r="A23" s="16" t="s">
        <v>157</v>
      </c>
      <c r="B23" s="16" t="s">
        <v>172</v>
      </c>
      <c r="C23" s="16" t="s">
        <v>191</v>
      </c>
      <c r="D23" s="16" t="s">
        <v>192</v>
      </c>
      <c r="E23" s="16" t="s">
        <v>193</v>
      </c>
      <c r="F23" s="16" t="s">
        <v>194</v>
      </c>
      <c r="G23" s="16" t="s">
        <v>86</v>
      </c>
      <c r="H23" s="16" t="s">
        <v>195</v>
      </c>
      <c r="I23" s="16" t="s">
        <v>196</v>
      </c>
      <c r="J23" s="16" t="s">
        <v>197</v>
      </c>
      <c r="K23" s="16" t="str">
        <f>INDEX('Log de Ejecución'!$J$2:$J$41,MATCH($E23,'Log de Ejecución'!$A$2:$A$41,0))</f>
        <v>Pass</v>
      </c>
      <c r="L23" s="16" t="str">
        <f>INDEX('Log de Ejecución'!$O$2:$O$41,MATCH($E23,'Log de Ejecución'!$A$2:$A$41,0))</f>
        <v>Pass</v>
      </c>
      <c r="M23" s="16" t="str">
        <f>INDEX('Log de Ejecución'!$N$2:$N$41,MATCH($E23,'Log de Ejecución'!$A$2:$A$41,0))</f>
        <v>No registrado</v>
      </c>
      <c r="N23" s="16" t="str">
        <f>IFERROR(INDEX('Bug Tracker'!$H$2:$H$200,MATCH(M23,'Bug Tracker'!$A$2:$A$200,0)),"—")</f>
        <v>—</v>
      </c>
      <c r="O23" s="16" t="s">
        <v>198</v>
      </c>
    </row>
    <row r="24" spans="1:15" ht="69" customHeight="1" x14ac:dyDescent="0.3">
      <c r="A24" s="16" t="s">
        <v>157</v>
      </c>
      <c r="B24" s="16" t="s">
        <v>158</v>
      </c>
      <c r="C24" s="16" t="s">
        <v>199</v>
      </c>
      <c r="D24" s="16" t="s">
        <v>200</v>
      </c>
      <c r="E24" s="16" t="s">
        <v>201</v>
      </c>
      <c r="F24" s="16" t="s">
        <v>202</v>
      </c>
      <c r="G24" s="16" t="s">
        <v>86</v>
      </c>
      <c r="H24" s="16" t="s">
        <v>203</v>
      </c>
      <c r="I24" s="16" t="s">
        <v>204</v>
      </c>
      <c r="J24" s="16" t="s">
        <v>205</v>
      </c>
      <c r="K24" s="16" t="str">
        <f>INDEX('Log de Ejecución'!$J$2:$J$41,MATCH($E24,'Log de Ejecución'!$A$2:$A$41,0))</f>
        <v>Pass</v>
      </c>
      <c r="L24" s="16" t="str">
        <f>INDEX('Log de Ejecución'!$O$2:$O$41,MATCH($E24,'Log de Ejecución'!$A$2:$A$41,0))</f>
        <v>Pass</v>
      </c>
      <c r="M24" s="16" t="str">
        <f>INDEX('Log de Ejecución'!$N$2:$N$41,MATCH($E24,'Log de Ejecución'!$A$2:$A$41,0))</f>
        <v>No registrado</v>
      </c>
      <c r="N24" s="16" t="str">
        <f>IFERROR(INDEX('Bug Tracker'!$H$2:$H$200,MATCH(M24,'Bug Tracker'!$A$2:$A$200,0)),"—")</f>
        <v>—</v>
      </c>
      <c r="O24" s="16" t="s">
        <v>206</v>
      </c>
    </row>
    <row r="25" spans="1:15" ht="82.8" customHeight="1" x14ac:dyDescent="0.3">
      <c r="A25" s="16" t="s">
        <v>157</v>
      </c>
      <c r="B25" s="16" t="s">
        <v>172</v>
      </c>
      <c r="C25" s="16" t="s">
        <v>207</v>
      </c>
      <c r="D25" s="16" t="s">
        <v>208</v>
      </c>
      <c r="E25" s="16" t="s">
        <v>209</v>
      </c>
      <c r="F25" s="16" t="s">
        <v>210</v>
      </c>
      <c r="G25" s="16" t="s">
        <v>63</v>
      </c>
      <c r="H25" s="16" t="s">
        <v>211</v>
      </c>
      <c r="I25" s="16" t="s">
        <v>212</v>
      </c>
      <c r="J25" s="16" t="s">
        <v>213</v>
      </c>
      <c r="K25" s="16" t="str">
        <f>INDEX('Log de Ejecución'!$J$2:$J$41,MATCH($E25,'Log de Ejecución'!$A$2:$A$41,0))</f>
        <v>Fail</v>
      </c>
      <c r="L25" s="16" t="str">
        <f>INDEX('Log de Ejecución'!$O$2:$O$41,MATCH($E25,'Log de Ejecución'!$A$2:$A$41,0))</f>
        <v>Pass</v>
      </c>
      <c r="M25" s="16" t="str">
        <f>INDEX('Log de Ejecución'!$N$2:$N$41,MATCH($E25,'Log de Ejecución'!$A$2:$A$41,0))</f>
        <v>BUG-PRO-02</v>
      </c>
      <c r="N25" s="16" t="str">
        <f>IFERROR(INDEX('Bug Tracker'!$H$2:$H$200,MATCH(M25,'Bug Tracker'!$A$2:$A$200,0)),"—")</f>
        <v>Cerrado</v>
      </c>
      <c r="O25" s="16" t="s">
        <v>214</v>
      </c>
    </row>
    <row r="26" spans="1:15" ht="69" customHeight="1" x14ac:dyDescent="0.3">
      <c r="A26" s="16" t="s">
        <v>215</v>
      </c>
      <c r="B26" s="16" t="s">
        <v>216</v>
      </c>
      <c r="C26" s="16" t="s">
        <v>217</v>
      </c>
      <c r="D26" s="16" t="s">
        <v>218</v>
      </c>
      <c r="E26" s="16" t="s">
        <v>219</v>
      </c>
      <c r="F26" s="16" t="s">
        <v>220</v>
      </c>
      <c r="G26" s="16" t="s">
        <v>63</v>
      </c>
      <c r="H26" s="16" t="s">
        <v>221</v>
      </c>
      <c r="I26" s="16" t="s">
        <v>222</v>
      </c>
      <c r="J26" s="16" t="s">
        <v>223</v>
      </c>
      <c r="K26" s="16" t="str">
        <f>INDEX('Log de Ejecución'!$J$2:$J$41,MATCH($E26,'Log de Ejecución'!$A$2:$A$41,0))</f>
        <v>Pass</v>
      </c>
      <c r="L26" s="16" t="str">
        <f>INDEX('Log de Ejecución'!$O$2:$O$41,MATCH($E26,'Log de Ejecución'!$A$2:$A$41,0))</f>
        <v>Pass</v>
      </c>
      <c r="M26" s="16" t="str">
        <f>INDEX('Log de Ejecución'!$N$2:$N$41,MATCH($E26,'Log de Ejecución'!$A$2:$A$41,0))</f>
        <v>No registrado</v>
      </c>
      <c r="N26" s="16" t="str">
        <f>IFERROR(INDEX('Bug Tracker'!$H$2:$H$200,MATCH(M26,'Bug Tracker'!$A$2:$A$200,0)),"—")</f>
        <v>—</v>
      </c>
      <c r="O26" s="16"/>
    </row>
    <row r="27" spans="1:15" ht="55.2" customHeight="1" x14ac:dyDescent="0.3">
      <c r="A27" s="16" t="s">
        <v>215</v>
      </c>
      <c r="B27" s="16" t="s">
        <v>216</v>
      </c>
      <c r="C27" s="16" t="s">
        <v>217</v>
      </c>
      <c r="D27" s="16" t="s">
        <v>218</v>
      </c>
      <c r="E27" s="16" t="s">
        <v>224</v>
      </c>
      <c r="F27" s="16" t="s">
        <v>225</v>
      </c>
      <c r="G27" s="16" t="s">
        <v>63</v>
      </c>
      <c r="H27" s="16" t="s">
        <v>226</v>
      </c>
      <c r="I27" s="16" t="s">
        <v>227</v>
      </c>
      <c r="J27" s="16" t="s">
        <v>228</v>
      </c>
      <c r="K27" s="16" t="str">
        <f>INDEX('Log de Ejecución'!$J$2:$J$41,MATCH($E27,'Log de Ejecución'!$A$2:$A$41,0))</f>
        <v>Pass</v>
      </c>
      <c r="L27" s="16" t="str">
        <f>INDEX('Log de Ejecución'!$O$2:$O$41,MATCH($E27,'Log de Ejecución'!$A$2:$A$41,0))</f>
        <v>Pass</v>
      </c>
      <c r="M27" s="16" t="str">
        <f>INDEX('Log de Ejecución'!$N$2:$N$41,MATCH($E27,'Log de Ejecución'!$A$2:$A$41,0))</f>
        <v>No registrado</v>
      </c>
      <c r="N27" s="16" t="str">
        <f>IFERROR(INDEX('Bug Tracker'!$H$2:$H$200,MATCH(M27,'Bug Tracker'!$A$2:$A$200,0)),"—")</f>
        <v>—</v>
      </c>
      <c r="O27" s="16"/>
    </row>
    <row r="28" spans="1:15" ht="55.2" customHeight="1" x14ac:dyDescent="0.3">
      <c r="A28" s="16" t="s">
        <v>215</v>
      </c>
      <c r="B28" s="16" t="s">
        <v>229</v>
      </c>
      <c r="C28" s="16" t="s">
        <v>230</v>
      </c>
      <c r="D28" s="16" t="s">
        <v>231</v>
      </c>
      <c r="E28" s="16" t="s">
        <v>232</v>
      </c>
      <c r="F28" s="16" t="s">
        <v>233</v>
      </c>
      <c r="G28" s="16" t="s">
        <v>50</v>
      </c>
      <c r="H28" s="16" t="s">
        <v>234</v>
      </c>
      <c r="I28" s="16" t="s">
        <v>235</v>
      </c>
      <c r="J28" s="16" t="s">
        <v>236</v>
      </c>
      <c r="K28" s="16" t="str">
        <f>INDEX('Log de Ejecución'!$J$2:$J$41,MATCH($E28,'Log de Ejecución'!$A$2:$A$41,0))</f>
        <v>Pass</v>
      </c>
      <c r="L28" s="16" t="str">
        <f>INDEX('Log de Ejecución'!$O$2:$O$41,MATCH($E28,'Log de Ejecución'!$A$2:$A$41,0))</f>
        <v>Pass</v>
      </c>
      <c r="M28" s="16" t="str">
        <f>INDEX('Log de Ejecución'!$N$2:$N$41,MATCH($E28,'Log de Ejecución'!$A$2:$A$41,0))</f>
        <v>No registrado</v>
      </c>
      <c r="N28" s="16" t="str">
        <f>IFERROR(INDEX('Bug Tracker'!$H$2:$H$200,MATCH(M28,'Bug Tracker'!$A$2:$A$200,0)),"—")</f>
        <v>—</v>
      </c>
      <c r="O28" s="16"/>
    </row>
    <row r="29" spans="1:15" ht="55.2" customHeight="1" x14ac:dyDescent="0.3">
      <c r="A29" s="16" t="s">
        <v>215</v>
      </c>
      <c r="B29" s="16" t="s">
        <v>229</v>
      </c>
      <c r="C29" s="16" t="s">
        <v>230</v>
      </c>
      <c r="D29" s="16" t="s">
        <v>231</v>
      </c>
      <c r="E29" s="16" t="s">
        <v>237</v>
      </c>
      <c r="F29" s="16" t="s">
        <v>238</v>
      </c>
      <c r="G29" s="16" t="s">
        <v>86</v>
      </c>
      <c r="H29" s="16" t="s">
        <v>239</v>
      </c>
      <c r="I29" s="16" t="s">
        <v>240</v>
      </c>
      <c r="J29" s="16" t="s">
        <v>241</v>
      </c>
      <c r="K29" s="16" t="str">
        <f>INDEX('Log de Ejecución'!$J$2:$J$41,MATCH($E29,'Log de Ejecución'!$A$2:$A$41,0))</f>
        <v>Pass</v>
      </c>
      <c r="L29" s="16" t="str">
        <f>INDEX('Log de Ejecución'!$O$2:$O$41,MATCH($E29,'Log de Ejecución'!$A$2:$A$41,0))</f>
        <v>Pass</v>
      </c>
      <c r="M29" s="16" t="str">
        <f>INDEX('Log de Ejecución'!$N$2:$N$41,MATCH($E29,'Log de Ejecución'!$A$2:$A$41,0))</f>
        <v>No registrado</v>
      </c>
      <c r="N29" s="16" t="str">
        <f>IFERROR(INDEX('Bug Tracker'!$H$2:$H$200,MATCH(M29,'Bug Tracker'!$A$2:$A$200,0)),"—")</f>
        <v>—</v>
      </c>
      <c r="O29" s="16"/>
    </row>
    <row r="30" spans="1:15" ht="55.2" customHeight="1" x14ac:dyDescent="0.3">
      <c r="A30" s="16" t="s">
        <v>215</v>
      </c>
      <c r="B30" s="16" t="s">
        <v>216</v>
      </c>
      <c r="C30" s="16" t="s">
        <v>242</v>
      </c>
      <c r="D30" s="16" t="s">
        <v>243</v>
      </c>
      <c r="E30" s="16" t="s">
        <v>244</v>
      </c>
      <c r="F30" s="16" t="s">
        <v>245</v>
      </c>
      <c r="G30" s="16" t="s">
        <v>63</v>
      </c>
      <c r="H30" s="16" t="s">
        <v>246</v>
      </c>
      <c r="I30" s="16" t="s">
        <v>247</v>
      </c>
      <c r="J30" s="16" t="s">
        <v>248</v>
      </c>
      <c r="K30" s="16" t="str">
        <f>INDEX('Log de Ejecución'!$J$2:$J$41,MATCH($E30,'Log de Ejecución'!$A$2:$A$41,0))</f>
        <v>Pass</v>
      </c>
      <c r="L30" s="16" t="str">
        <f>INDEX('Log de Ejecución'!$O$2:$O$41,MATCH($E30,'Log de Ejecución'!$A$2:$A$41,0))</f>
        <v>Pass</v>
      </c>
      <c r="M30" s="16" t="str">
        <f>INDEX('Log de Ejecución'!$N$2:$N$41,MATCH($E30,'Log de Ejecución'!$A$2:$A$41,0))</f>
        <v>No registrado</v>
      </c>
      <c r="N30" s="16" t="str">
        <f>IFERROR(INDEX('Bug Tracker'!$H$2:$H$200,MATCH(M30,'Bug Tracker'!$A$2:$A$200,0)),"—")</f>
        <v>—</v>
      </c>
      <c r="O30" s="16"/>
    </row>
    <row r="31" spans="1:15" ht="55.2" customHeight="1" x14ac:dyDescent="0.3">
      <c r="A31" s="16" t="s">
        <v>215</v>
      </c>
      <c r="B31" s="16" t="s">
        <v>229</v>
      </c>
      <c r="C31" s="16" t="s">
        <v>249</v>
      </c>
      <c r="D31" s="16" t="s">
        <v>250</v>
      </c>
      <c r="E31" s="16" t="s">
        <v>251</v>
      </c>
      <c r="F31" s="16" t="s">
        <v>252</v>
      </c>
      <c r="G31" s="16" t="s">
        <v>86</v>
      </c>
      <c r="H31" s="16" t="s">
        <v>253</v>
      </c>
      <c r="I31" s="16" t="s">
        <v>254</v>
      </c>
      <c r="J31" s="16" t="s">
        <v>255</v>
      </c>
      <c r="K31" s="16" t="str">
        <f>INDEX('Log de Ejecución'!$J$2:$J$41,MATCH($E31,'Log de Ejecución'!$A$2:$A$41,0))</f>
        <v>Pass</v>
      </c>
      <c r="L31" s="16" t="str">
        <f>INDEX('Log de Ejecución'!$O$2:$O$41,MATCH($E31,'Log de Ejecución'!$A$2:$A$41,0))</f>
        <v>Pass</v>
      </c>
      <c r="M31" s="16" t="str">
        <f>INDEX('Log de Ejecución'!$N$2:$N$41,MATCH($E31,'Log de Ejecución'!$A$2:$A$41,0))</f>
        <v>No registrado</v>
      </c>
      <c r="N31" s="16" t="str">
        <f>IFERROR(INDEX('Bug Tracker'!$H$2:$H$200,MATCH(M31,'Bug Tracker'!$A$2:$A$200,0)),"—")</f>
        <v>—</v>
      </c>
      <c r="O31" s="16"/>
    </row>
    <row r="32" spans="1:15" ht="69" customHeight="1" x14ac:dyDescent="0.3">
      <c r="A32" s="16" t="s">
        <v>215</v>
      </c>
      <c r="B32" s="16" t="s">
        <v>229</v>
      </c>
      <c r="C32" s="16" t="s">
        <v>256</v>
      </c>
      <c r="D32" s="16" t="s">
        <v>257</v>
      </c>
      <c r="E32" s="16" t="s">
        <v>258</v>
      </c>
      <c r="F32" s="16" t="s">
        <v>259</v>
      </c>
      <c r="G32" s="16" t="s">
        <v>147</v>
      </c>
      <c r="H32" s="16" t="s">
        <v>260</v>
      </c>
      <c r="I32" s="16" t="s">
        <v>261</v>
      </c>
      <c r="J32" s="16" t="s">
        <v>262</v>
      </c>
      <c r="K32" s="16" t="str">
        <f>INDEX('Log de Ejecución'!$J$2:$J$41,MATCH($E32,'Log de Ejecución'!$A$2:$A$41,0))</f>
        <v>Pass</v>
      </c>
      <c r="L32" s="16" t="str">
        <f>INDEX('Log de Ejecución'!$O$2:$O$41,MATCH($E32,'Log de Ejecución'!$A$2:$A$41,0))</f>
        <v>Pass</v>
      </c>
      <c r="M32" s="16" t="str">
        <f>INDEX('Log de Ejecución'!$N$2:$N$41,MATCH($E32,'Log de Ejecución'!$A$2:$A$41,0))</f>
        <v>No registrado</v>
      </c>
      <c r="N32" s="16" t="str">
        <f>IFERROR(INDEX('Bug Tracker'!$H$2:$H$200,MATCH(M32,'Bug Tracker'!$A$2:$A$200,0)),"—")</f>
        <v>—</v>
      </c>
      <c r="O32" s="16" t="s">
        <v>263</v>
      </c>
    </row>
    <row r="33" spans="1:15" ht="69" customHeight="1" x14ac:dyDescent="0.3">
      <c r="A33" s="16" t="s">
        <v>215</v>
      </c>
      <c r="B33" s="16" t="s">
        <v>229</v>
      </c>
      <c r="C33" s="16" t="s">
        <v>256</v>
      </c>
      <c r="D33" s="16" t="s">
        <v>257</v>
      </c>
      <c r="E33" s="16" t="s">
        <v>264</v>
      </c>
      <c r="F33" s="16" t="s">
        <v>265</v>
      </c>
      <c r="G33" s="16" t="s">
        <v>147</v>
      </c>
      <c r="H33" s="16" t="s">
        <v>266</v>
      </c>
      <c r="I33" s="16" t="s">
        <v>267</v>
      </c>
      <c r="J33" s="16" t="s">
        <v>268</v>
      </c>
      <c r="K33" s="16" t="str">
        <f>INDEX('Log de Ejecución'!$J$2:$J$41,MATCH($E33,'Log de Ejecución'!$A$2:$A$41,0))</f>
        <v>Pass</v>
      </c>
      <c r="L33" s="16" t="str">
        <f>INDEX('Log de Ejecución'!$O$2:$O$41,MATCH($E33,'Log de Ejecución'!$A$2:$A$41,0))</f>
        <v>Pass</v>
      </c>
      <c r="M33" s="16" t="str">
        <f>INDEX('Log de Ejecución'!$N$2:$N$41,MATCH($E33,'Log de Ejecución'!$A$2:$A$41,0))</f>
        <v>No registrado</v>
      </c>
      <c r="N33" s="16" t="str">
        <f>IFERROR(INDEX('Bug Tracker'!$H$2:$H$200,MATCH(M33,'Bug Tracker'!$A$2:$A$200,0)),"—")</f>
        <v>—</v>
      </c>
      <c r="O33" s="16" t="s">
        <v>269</v>
      </c>
    </row>
    <row r="34" spans="1:15" ht="69" customHeight="1" x14ac:dyDescent="0.3">
      <c r="A34" s="16" t="s">
        <v>270</v>
      </c>
      <c r="B34" s="16" t="s">
        <v>270</v>
      </c>
      <c r="C34" s="16" t="s">
        <v>271</v>
      </c>
      <c r="D34" s="16" t="s">
        <v>272</v>
      </c>
      <c r="E34" s="16" t="s">
        <v>273</v>
      </c>
      <c r="F34" s="16" t="s">
        <v>274</v>
      </c>
      <c r="G34" s="16" t="s">
        <v>50</v>
      </c>
      <c r="H34" s="16" t="s">
        <v>275</v>
      </c>
      <c r="I34" s="16" t="s">
        <v>276</v>
      </c>
      <c r="J34" s="16" t="s">
        <v>277</v>
      </c>
      <c r="K34" s="16" t="str">
        <f>INDEX('Log de Ejecución'!$J$2:$J$41,MATCH($E34,'Log de Ejecución'!$A$2:$A$41,0))</f>
        <v>Pass</v>
      </c>
      <c r="L34" s="16" t="str">
        <f>INDEX('Log de Ejecución'!$O$2:$O$41,MATCH($E34,'Log de Ejecución'!$A$2:$A$41,0))</f>
        <v>Pass</v>
      </c>
      <c r="M34" s="16" t="str">
        <f>INDEX('Log de Ejecución'!$N$2:$N$41,MATCH($E34,'Log de Ejecución'!$A$2:$A$41,0))</f>
        <v>No registrado</v>
      </c>
      <c r="N34" s="16" t="str">
        <f>IFERROR(INDEX('Bug Tracker'!$H$2:$H$200,MATCH(M34,'Bug Tracker'!$A$2:$A$200,0)),"—")</f>
        <v>—</v>
      </c>
      <c r="O34" s="16"/>
    </row>
    <row r="35" spans="1:15" ht="82.8" customHeight="1" x14ac:dyDescent="0.3">
      <c r="A35" s="16" t="s">
        <v>270</v>
      </c>
      <c r="B35" s="16" t="s">
        <v>270</v>
      </c>
      <c r="C35" s="16" t="s">
        <v>271</v>
      </c>
      <c r="D35" s="16" t="s">
        <v>272</v>
      </c>
      <c r="E35" s="16" t="s">
        <v>278</v>
      </c>
      <c r="F35" s="16" t="s">
        <v>279</v>
      </c>
      <c r="G35" s="16" t="s">
        <v>50</v>
      </c>
      <c r="H35" s="16" t="s">
        <v>280</v>
      </c>
      <c r="I35" s="16" t="s">
        <v>281</v>
      </c>
      <c r="J35" s="16" t="s">
        <v>282</v>
      </c>
      <c r="K35" s="16" t="str">
        <f>INDEX('Log de Ejecución'!$J$2:$J$41,MATCH($E35,'Log de Ejecución'!$A$2:$A$41,0))</f>
        <v>Pass</v>
      </c>
      <c r="L35" s="16" t="str">
        <f>INDEX('Log de Ejecución'!$O$2:$O$41,MATCH($E35,'Log de Ejecución'!$A$2:$A$41,0))</f>
        <v>Pass</v>
      </c>
      <c r="M35" s="16" t="str">
        <f>INDEX('Log de Ejecución'!$N$2:$N$41,MATCH($E35,'Log de Ejecución'!$A$2:$A$41,0))</f>
        <v>No registrado</v>
      </c>
      <c r="N35" s="16" t="str">
        <f>IFERROR(INDEX('Bug Tracker'!$H$2:$H$200,MATCH(M35,'Bug Tracker'!$A$2:$A$200,0)),"—")</f>
        <v>—</v>
      </c>
      <c r="O35" s="16"/>
    </row>
    <row r="36" spans="1:15" ht="55.2" customHeight="1" x14ac:dyDescent="0.3">
      <c r="A36" s="16" t="s">
        <v>270</v>
      </c>
      <c r="B36" s="16" t="s">
        <v>270</v>
      </c>
      <c r="C36" s="16" t="s">
        <v>271</v>
      </c>
      <c r="D36" s="16" t="s">
        <v>272</v>
      </c>
      <c r="E36" s="16" t="s">
        <v>283</v>
      </c>
      <c r="F36" s="16" t="s">
        <v>284</v>
      </c>
      <c r="G36" s="16" t="s">
        <v>50</v>
      </c>
      <c r="H36" s="16" t="s">
        <v>285</v>
      </c>
      <c r="I36" s="16" t="s">
        <v>286</v>
      </c>
      <c r="J36" s="16" t="s">
        <v>287</v>
      </c>
      <c r="K36" s="16" t="str">
        <f>INDEX('Log de Ejecución'!$J$2:$J$41,MATCH($E36,'Log de Ejecución'!$A$2:$A$41,0))</f>
        <v>Fail</v>
      </c>
      <c r="L36" s="16" t="str">
        <f>INDEX('Log de Ejecución'!$O$2:$O$41,MATCH($E36,'Log de Ejecución'!$A$2:$A$41,0))</f>
        <v>Pass</v>
      </c>
      <c r="M36" s="16" t="str">
        <f>INDEX('Log de Ejecución'!$N$2:$N$41,MATCH($E36,'Log de Ejecución'!$A$2:$A$41,0))</f>
        <v>BUG-REP-01</v>
      </c>
      <c r="N36" s="16" t="str">
        <f>IFERROR(INDEX('Bug Tracker'!$H$2:$H$200,MATCH(M36,'Bug Tracker'!$A$2:$A$200,0)),"—")</f>
        <v>Cerrado</v>
      </c>
      <c r="O36" s="16" t="s">
        <v>288</v>
      </c>
    </row>
    <row r="37" spans="1:15" ht="27.6" customHeight="1" x14ac:dyDescent="0.3">
      <c r="A37" s="16" t="s">
        <v>270</v>
      </c>
      <c r="B37" s="16" t="s">
        <v>270</v>
      </c>
      <c r="C37" s="16" t="s">
        <v>289</v>
      </c>
      <c r="D37" s="16" t="s">
        <v>290</v>
      </c>
      <c r="E37" s="16" t="s">
        <v>291</v>
      </c>
      <c r="F37" s="16" t="s">
        <v>292</v>
      </c>
      <c r="G37" s="16" t="s">
        <v>86</v>
      </c>
      <c r="H37" s="16" t="s">
        <v>293</v>
      </c>
      <c r="I37" s="16" t="s">
        <v>294</v>
      </c>
      <c r="J37" s="16" t="s">
        <v>295</v>
      </c>
      <c r="K37" s="16" t="str">
        <f>INDEX('Log de Ejecución'!$J$2:$J$41,MATCH($E37,'Log de Ejecución'!$A$2:$A$41,0))</f>
        <v>Fail</v>
      </c>
      <c r="L37" s="16" t="str">
        <f>INDEX('Log de Ejecución'!$O$2:$O$41,MATCH($E37,'Log de Ejecución'!$A$2:$A$41,0))</f>
        <v>Pass</v>
      </c>
      <c r="M37" s="16" t="str">
        <f>INDEX('Log de Ejecución'!$N$2:$N$41,MATCH($E37,'Log de Ejecución'!$A$2:$A$41,0))</f>
        <v>BUG-REP-02</v>
      </c>
      <c r="N37" s="16" t="str">
        <f>IFERROR(INDEX('Bug Tracker'!$H$2:$H$200,MATCH(M37,'Bug Tracker'!$A$2:$A$200,0)),"—")</f>
        <v>Cerrado</v>
      </c>
      <c r="O37" s="16" t="s">
        <v>296</v>
      </c>
    </row>
    <row r="38" spans="1:15" ht="82.8" customHeight="1" x14ac:dyDescent="0.3">
      <c r="A38" s="16" t="s">
        <v>270</v>
      </c>
      <c r="B38" s="16" t="s">
        <v>270</v>
      </c>
      <c r="C38" s="16" t="s">
        <v>297</v>
      </c>
      <c r="D38" s="16" t="s">
        <v>298</v>
      </c>
      <c r="E38" s="16" t="s">
        <v>299</v>
      </c>
      <c r="F38" s="16" t="s">
        <v>300</v>
      </c>
      <c r="G38" s="16" t="s">
        <v>301</v>
      </c>
      <c r="H38" s="16" t="s">
        <v>302</v>
      </c>
      <c r="I38" s="16" t="s">
        <v>303</v>
      </c>
      <c r="J38" s="16" t="s">
        <v>304</v>
      </c>
      <c r="K38" s="16" t="str">
        <f>INDEX('Log de Ejecución'!$J$2:$J$41,MATCH($E38,'Log de Ejecución'!$A$2:$A$41,0))</f>
        <v>Skipped</v>
      </c>
      <c r="L38" s="16" t="str">
        <f>INDEX('Log de Ejecución'!$O$2:$O$41,MATCH($E38,'Log de Ejecución'!$A$2:$A$41,0))</f>
        <v>Skipped</v>
      </c>
      <c r="M38" s="16" t="str">
        <f>INDEX('Log de Ejecución'!$N$2:$N$41,MATCH($E38,'Log de Ejecución'!$A$2:$A$41,0))</f>
        <v>N/A – fuera de alcance</v>
      </c>
      <c r="N38" s="16" t="str">
        <f>IFERROR(INDEX('Bug Tracker'!$H$2:$H$200,MATCH(M38,'Bug Tracker'!$A$2:$A$200,0)),"—")</f>
        <v>—</v>
      </c>
      <c r="O38" s="16" t="s">
        <v>305</v>
      </c>
    </row>
    <row r="39" spans="1:15" ht="55.2" customHeight="1" x14ac:dyDescent="0.3">
      <c r="A39" s="16" t="s">
        <v>270</v>
      </c>
      <c r="B39" s="16" t="s">
        <v>270</v>
      </c>
      <c r="C39" s="16" t="s">
        <v>306</v>
      </c>
      <c r="D39" s="16" t="s">
        <v>307</v>
      </c>
      <c r="E39" s="16" t="s">
        <v>308</v>
      </c>
      <c r="F39" s="16" t="s">
        <v>309</v>
      </c>
      <c r="G39" s="16" t="s">
        <v>50</v>
      </c>
      <c r="H39" s="16" t="s">
        <v>310</v>
      </c>
      <c r="I39" s="16" t="s">
        <v>311</v>
      </c>
      <c r="J39" s="16" t="s">
        <v>312</v>
      </c>
      <c r="K39" s="16" t="str">
        <f>INDEX('Log de Ejecución'!$J$2:$J$41,MATCH($E39,'Log de Ejecución'!$A$2:$A$41,0))</f>
        <v>Pass</v>
      </c>
      <c r="L39" s="16" t="str">
        <f>INDEX('Log de Ejecución'!$O$2:$O$41,MATCH($E39,'Log de Ejecución'!$A$2:$A$41,0))</f>
        <v>Pass</v>
      </c>
      <c r="M39" s="16" t="str">
        <f>INDEX('Log de Ejecución'!$N$2:$N$41,MATCH($E39,'Log de Ejecución'!$A$2:$A$41,0))</f>
        <v>No registrado</v>
      </c>
      <c r="N39" s="16" t="str">
        <f>IFERROR(INDEX('Bug Tracker'!$H$2:$H$200,MATCH(M39,'Bug Tracker'!$A$2:$A$200,0)),"—")</f>
        <v>—</v>
      </c>
      <c r="O39" s="16"/>
    </row>
    <row r="40" spans="1:15" ht="55.2" customHeight="1" x14ac:dyDescent="0.3">
      <c r="A40" s="16" t="s">
        <v>270</v>
      </c>
      <c r="B40" s="16" t="s">
        <v>270</v>
      </c>
      <c r="C40" s="16" t="s">
        <v>313</v>
      </c>
      <c r="D40" s="16" t="s">
        <v>314</v>
      </c>
      <c r="E40" s="16" t="s">
        <v>315</v>
      </c>
      <c r="F40" s="16" t="s">
        <v>316</v>
      </c>
      <c r="G40" s="16" t="s">
        <v>50</v>
      </c>
      <c r="H40" s="16" t="s">
        <v>317</v>
      </c>
      <c r="I40" s="16" t="s">
        <v>318</v>
      </c>
      <c r="J40" s="16" t="s">
        <v>319</v>
      </c>
      <c r="K40" s="16" t="str">
        <f>INDEX('Log de Ejecución'!$J$2:$J$41,MATCH($E40,'Log de Ejecución'!$A$2:$A$41,0))</f>
        <v>Pass</v>
      </c>
      <c r="L40" s="16" t="str">
        <f>INDEX('Log de Ejecución'!$O$2:$O$41,MATCH($E40,'Log de Ejecución'!$A$2:$A$41,0))</f>
        <v>Pass</v>
      </c>
      <c r="M40" s="16" t="str">
        <f>INDEX('Log de Ejecución'!$N$2:$N$41,MATCH($E40,'Log de Ejecución'!$A$2:$A$41,0))</f>
        <v>No registrado</v>
      </c>
      <c r="N40" s="16" t="str">
        <f>IFERROR(INDEX('Bug Tracker'!$H$2:$H$200,MATCH(M40,'Bug Tracker'!$A$2:$A$200,0)),"—")</f>
        <v>—</v>
      </c>
      <c r="O40" s="16" t="s">
        <v>320</v>
      </c>
    </row>
    <row r="41" spans="1:15" ht="55.2" customHeight="1" x14ac:dyDescent="0.3">
      <c r="A41" s="16" t="s">
        <v>270</v>
      </c>
      <c r="B41" s="16" t="s">
        <v>270</v>
      </c>
      <c r="C41" s="16" t="s">
        <v>289</v>
      </c>
      <c r="D41" s="16" t="s">
        <v>290</v>
      </c>
      <c r="E41" s="16" t="s">
        <v>321</v>
      </c>
      <c r="F41" s="16" t="s">
        <v>322</v>
      </c>
      <c r="G41" s="16" t="s">
        <v>86</v>
      </c>
      <c r="H41" s="16" t="s">
        <v>323</v>
      </c>
      <c r="I41" s="16" t="s">
        <v>324</v>
      </c>
      <c r="J41" s="16" t="s">
        <v>325</v>
      </c>
      <c r="K41" s="16" t="str">
        <f>INDEX('Log de Ejecución'!$J$2:$J$41,MATCH($E41,'Log de Ejecución'!$A$2:$A$41,0))</f>
        <v>Pass</v>
      </c>
      <c r="L41" s="16" t="str">
        <f>INDEX('Log de Ejecución'!$O$2:$O$41,MATCH($E41,'Log de Ejecución'!$A$2:$A$41,0))</f>
        <v>Pass</v>
      </c>
      <c r="M41" s="16" t="str">
        <f>INDEX('Log de Ejecución'!$N$2:$N$41,MATCH($E41,'Log de Ejecución'!$A$2:$A$41,0))</f>
        <v>No registrado</v>
      </c>
      <c r="N41" s="16" t="str">
        <f>IFERROR(INDEX('Bug Tracker'!$H$2:$H$200,MATCH(M41,'Bug Tracker'!$A$2:$A$200,0)),"—")</f>
        <v>—</v>
      </c>
      <c r="O41" s="16" t="s">
        <v>326</v>
      </c>
    </row>
  </sheetData>
  <conditionalFormatting sqref="K2:L41">
    <cfRule type="expression" dxfId="25" priority="1">
      <formula>$K2="Pass"</formula>
    </cfRule>
    <cfRule type="expression" dxfId="24" priority="2">
      <formula>$K2="Fail"</formula>
    </cfRule>
    <cfRule type="expression" dxfId="23" priority="3">
      <formula>$K2="Blocked"</formula>
    </cfRule>
    <cfRule type="expression" dxfId="22" priority="4">
      <formula>$K2="Skipped"</formula>
    </cfRule>
  </conditionalFormatting>
  <conditionalFormatting sqref="L2:L41">
    <cfRule type="expression" dxfId="21" priority="5">
      <formula>$L2="Pass"</formula>
    </cfRule>
    <cfRule type="expression" dxfId="20" priority="6">
      <formula>$L2="Fail"</formula>
    </cfRule>
    <cfRule type="expression" dxfId="19" priority="7">
      <formula>$L2="Blocked"</formula>
    </cfRule>
    <cfRule type="expression" dxfId="18" priority="8">
      <formula>$L2="Skipped"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"/>
  <sheetViews>
    <sheetView workbookViewId="0">
      <pane xSplit="1" ySplit="1" topLeftCell="L2" activePane="bottomRight" state="frozen"/>
      <selection pane="topRight"/>
      <selection pane="bottomLeft"/>
      <selection pane="bottomRight" activeCell="M2" sqref="M2"/>
    </sheetView>
  </sheetViews>
  <sheetFormatPr defaultColWidth="9.109375" defaultRowHeight="14.4" x14ac:dyDescent="0.3"/>
  <cols>
    <col min="1" max="1" width="14.109375" customWidth="1"/>
    <col min="2" max="2" width="9.5546875" customWidth="1"/>
    <col min="3" max="3" width="41.88671875" customWidth="1"/>
    <col min="4" max="4" width="23.5546875" customWidth="1"/>
    <col min="5" max="5" width="11.33203125" customWidth="1"/>
    <col min="6" max="6" width="81" customWidth="1"/>
    <col min="7" max="7" width="158.109375" customWidth="1"/>
    <col min="8" max="8" width="114.109375" customWidth="1"/>
    <col min="9" max="9" width="102.33203125" customWidth="1"/>
    <col min="10" max="10" width="23" customWidth="1"/>
    <col min="11" max="11" width="19.88671875" customWidth="1"/>
    <col min="12" max="12" width="22.33203125" customWidth="1"/>
    <col min="13" max="13" width="72" customWidth="1"/>
    <col min="14" max="14" width="29" customWidth="1"/>
    <col min="15" max="15" width="22" customWidth="1"/>
    <col min="16" max="16" width="18" customWidth="1"/>
    <col min="17" max="17" width="24" customWidth="1"/>
    <col min="18" max="18" width="70" customWidth="1"/>
  </cols>
  <sheetData>
    <row r="1" spans="1:18" ht="28.95" customHeight="1" x14ac:dyDescent="0.3">
      <c r="A1" s="1" t="s">
        <v>33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3" t="s">
        <v>338</v>
      </c>
      <c r="N1" s="3" t="s">
        <v>339</v>
      </c>
      <c r="O1" s="3" t="s">
        <v>340</v>
      </c>
      <c r="P1" s="3" t="s">
        <v>341</v>
      </c>
      <c r="Q1" s="3" t="s">
        <v>342</v>
      </c>
      <c r="R1" s="3" t="s">
        <v>343</v>
      </c>
    </row>
    <row r="2" spans="1:18" ht="30.75" customHeight="1" x14ac:dyDescent="0.3">
      <c r="A2" t="s">
        <v>48</v>
      </c>
      <c r="B2" t="s">
        <v>45</v>
      </c>
      <c r="C2" t="s">
        <v>49</v>
      </c>
      <c r="D2" t="s">
        <v>50</v>
      </c>
      <c r="E2" t="s">
        <v>344</v>
      </c>
      <c r="F2" t="s">
        <v>345</v>
      </c>
      <c r="G2" t="s">
        <v>346</v>
      </c>
      <c r="H2" t="s">
        <v>52</v>
      </c>
      <c r="I2" t="s">
        <v>53</v>
      </c>
      <c r="J2" s="5" t="s">
        <v>347</v>
      </c>
      <c r="K2" s="2">
        <v>46224</v>
      </c>
      <c r="L2" t="s">
        <v>9</v>
      </c>
      <c r="M2" s="6" t="s">
        <v>348</v>
      </c>
      <c r="N2" s="4" t="s">
        <v>349</v>
      </c>
      <c r="O2" s="11" t="str">
        <f>J2</f>
        <v>Pass</v>
      </c>
      <c r="P2" s="17"/>
      <c r="Q2" s="11"/>
      <c r="R2" s="10" t="s">
        <v>350</v>
      </c>
    </row>
    <row r="3" spans="1:18" ht="30.75" customHeight="1" x14ac:dyDescent="0.3">
      <c r="A3" t="s">
        <v>54</v>
      </c>
      <c r="B3" t="s">
        <v>45</v>
      </c>
      <c r="C3" t="s">
        <v>55</v>
      </c>
      <c r="D3" t="s">
        <v>50</v>
      </c>
      <c r="E3" t="s">
        <v>344</v>
      </c>
      <c r="F3" t="s">
        <v>351</v>
      </c>
      <c r="G3" t="s">
        <v>352</v>
      </c>
      <c r="H3" t="s">
        <v>57</v>
      </c>
      <c r="I3" t="s">
        <v>58</v>
      </c>
      <c r="J3" s="5" t="s">
        <v>347</v>
      </c>
      <c r="K3" s="2">
        <v>46225</v>
      </c>
      <c r="L3" t="s">
        <v>9</v>
      </c>
      <c r="M3" s="6" t="s">
        <v>353</v>
      </c>
      <c r="N3" s="4" t="s">
        <v>349</v>
      </c>
      <c r="O3" s="11" t="str">
        <f>J3</f>
        <v>Pass</v>
      </c>
      <c r="P3" s="17"/>
      <c r="Q3" s="11"/>
      <c r="R3" s="10" t="s">
        <v>350</v>
      </c>
    </row>
    <row r="4" spans="1:18" ht="30.75" customHeight="1" x14ac:dyDescent="0.3">
      <c r="A4" t="s">
        <v>61</v>
      </c>
      <c r="B4" t="s">
        <v>45</v>
      </c>
      <c r="C4" t="s">
        <v>62</v>
      </c>
      <c r="D4" t="s">
        <v>63</v>
      </c>
      <c r="E4" t="s">
        <v>344</v>
      </c>
      <c r="F4" t="s">
        <v>354</v>
      </c>
      <c r="G4" t="s">
        <v>355</v>
      </c>
      <c r="H4" t="s">
        <v>65</v>
      </c>
      <c r="I4" t="s">
        <v>66</v>
      </c>
      <c r="J4" s="5" t="s">
        <v>347</v>
      </c>
      <c r="K4" s="2">
        <v>46225</v>
      </c>
      <c r="L4" t="s">
        <v>9</v>
      </c>
      <c r="M4" s="6" t="s">
        <v>356</v>
      </c>
      <c r="N4" s="4" t="s">
        <v>349</v>
      </c>
      <c r="O4" s="11" t="str">
        <f>J4</f>
        <v>Pass</v>
      </c>
      <c r="P4" s="17"/>
      <c r="Q4" s="11"/>
      <c r="R4" s="10" t="s">
        <v>350</v>
      </c>
    </row>
    <row r="5" spans="1:18" ht="30.75" customHeight="1" x14ac:dyDescent="0.3">
      <c r="A5" t="s">
        <v>68</v>
      </c>
      <c r="B5" t="s">
        <v>45</v>
      </c>
      <c r="C5" t="s">
        <v>69</v>
      </c>
      <c r="D5" t="s">
        <v>63</v>
      </c>
      <c r="E5" t="s">
        <v>344</v>
      </c>
      <c r="F5" t="s">
        <v>357</v>
      </c>
      <c r="G5" t="s">
        <v>358</v>
      </c>
      <c r="H5" t="s">
        <v>71</v>
      </c>
      <c r="I5" t="s">
        <v>72</v>
      </c>
      <c r="J5" s="5" t="s">
        <v>347</v>
      </c>
      <c r="K5" s="2">
        <v>46227</v>
      </c>
      <c r="L5" t="s">
        <v>9</v>
      </c>
      <c r="M5" s="6" t="s">
        <v>359</v>
      </c>
      <c r="N5" s="4" t="s">
        <v>349</v>
      </c>
      <c r="O5" s="11" t="str">
        <f>J5</f>
        <v>Pass</v>
      </c>
      <c r="P5" s="17"/>
      <c r="Q5" s="11"/>
      <c r="R5" s="10" t="s">
        <v>350</v>
      </c>
    </row>
    <row r="6" spans="1:18" ht="30.75" customHeight="1" x14ac:dyDescent="0.3">
      <c r="A6" t="s">
        <v>76</v>
      </c>
      <c r="B6" t="s">
        <v>73</v>
      </c>
      <c r="C6" t="s">
        <v>77</v>
      </c>
      <c r="D6" t="s">
        <v>50</v>
      </c>
      <c r="E6" t="s">
        <v>344</v>
      </c>
      <c r="F6" t="s">
        <v>360</v>
      </c>
      <c r="G6" t="s">
        <v>361</v>
      </c>
      <c r="H6" t="s">
        <v>79</v>
      </c>
      <c r="I6" t="s">
        <v>80</v>
      </c>
      <c r="J6" s="5" t="s">
        <v>362</v>
      </c>
      <c r="K6" s="2">
        <v>46227</v>
      </c>
      <c r="L6" t="s">
        <v>9</v>
      </c>
      <c r="M6" s="6" t="s">
        <v>363</v>
      </c>
      <c r="N6" s="4" t="s">
        <v>364</v>
      </c>
      <c r="O6" s="11" t="s">
        <v>347</v>
      </c>
      <c r="P6" s="17">
        <v>46315</v>
      </c>
      <c r="Q6" s="11" t="s">
        <v>9</v>
      </c>
      <c r="R6" s="10" t="s">
        <v>365</v>
      </c>
    </row>
    <row r="7" spans="1:18" ht="30.75" customHeight="1" x14ac:dyDescent="0.3">
      <c r="A7" t="s">
        <v>84</v>
      </c>
      <c r="B7" t="s">
        <v>45</v>
      </c>
      <c r="C7" t="s">
        <v>85</v>
      </c>
      <c r="D7" t="s">
        <v>86</v>
      </c>
      <c r="E7" t="s">
        <v>344</v>
      </c>
      <c r="F7" t="s">
        <v>366</v>
      </c>
      <c r="G7" t="s">
        <v>367</v>
      </c>
      <c r="H7" t="s">
        <v>88</v>
      </c>
      <c r="I7" t="s">
        <v>89</v>
      </c>
      <c r="J7" s="5" t="s">
        <v>347</v>
      </c>
      <c r="K7" s="2">
        <v>46234</v>
      </c>
      <c r="L7" t="s">
        <v>13</v>
      </c>
      <c r="M7" s="6" t="s">
        <v>368</v>
      </c>
      <c r="N7" s="4" t="s">
        <v>349</v>
      </c>
      <c r="O7" s="11" t="str">
        <f>J7</f>
        <v>Pass</v>
      </c>
      <c r="P7" s="17"/>
      <c r="Q7" s="11"/>
      <c r="R7" s="10" t="s">
        <v>350</v>
      </c>
    </row>
    <row r="8" spans="1:18" ht="30.75" customHeight="1" x14ac:dyDescent="0.3">
      <c r="A8" t="s">
        <v>91</v>
      </c>
      <c r="B8" t="s">
        <v>45</v>
      </c>
      <c r="C8" t="s">
        <v>92</v>
      </c>
      <c r="D8" t="s">
        <v>86</v>
      </c>
      <c r="E8" t="s">
        <v>344</v>
      </c>
      <c r="F8" t="s">
        <v>369</v>
      </c>
      <c r="G8" t="s">
        <v>370</v>
      </c>
      <c r="H8" t="s">
        <v>94</v>
      </c>
      <c r="I8" t="s">
        <v>95</v>
      </c>
      <c r="J8" s="5" t="s">
        <v>347</v>
      </c>
      <c r="K8" s="2">
        <v>46234</v>
      </c>
      <c r="L8" t="s">
        <v>13</v>
      </c>
      <c r="M8" s="6" t="s">
        <v>371</v>
      </c>
      <c r="N8" s="4" t="s">
        <v>349</v>
      </c>
      <c r="O8" s="11" t="str">
        <f>J8</f>
        <v>Pass</v>
      </c>
      <c r="P8" s="17"/>
      <c r="Q8" s="11"/>
      <c r="R8" s="10" t="s">
        <v>350</v>
      </c>
    </row>
    <row r="9" spans="1:18" ht="30.75" customHeight="1" x14ac:dyDescent="0.3">
      <c r="A9" t="s">
        <v>96</v>
      </c>
      <c r="B9" t="s">
        <v>45</v>
      </c>
      <c r="C9" t="s">
        <v>97</v>
      </c>
      <c r="D9" t="s">
        <v>86</v>
      </c>
      <c r="E9" t="s">
        <v>344</v>
      </c>
      <c r="F9" t="s">
        <v>369</v>
      </c>
      <c r="G9" t="s">
        <v>372</v>
      </c>
      <c r="H9" t="s">
        <v>99</v>
      </c>
      <c r="I9" t="s">
        <v>100</v>
      </c>
      <c r="J9" s="5" t="s">
        <v>347</v>
      </c>
      <c r="K9" s="2">
        <v>46240</v>
      </c>
      <c r="L9" t="s">
        <v>17</v>
      </c>
      <c r="M9" s="6" t="s">
        <v>373</v>
      </c>
      <c r="N9" s="4" t="s">
        <v>349</v>
      </c>
      <c r="O9" s="11" t="str">
        <f>J9</f>
        <v>Pass</v>
      </c>
      <c r="P9" s="17"/>
      <c r="Q9" s="11"/>
      <c r="R9" s="10" t="s">
        <v>350</v>
      </c>
    </row>
    <row r="10" spans="1:18" ht="30.75" customHeight="1" x14ac:dyDescent="0.3">
      <c r="A10" t="s">
        <v>105</v>
      </c>
      <c r="B10" t="s">
        <v>102</v>
      </c>
      <c r="C10" t="s">
        <v>106</v>
      </c>
      <c r="D10" t="s">
        <v>50</v>
      </c>
      <c r="E10" t="s">
        <v>344</v>
      </c>
      <c r="F10" t="s">
        <v>374</v>
      </c>
      <c r="G10" t="s">
        <v>375</v>
      </c>
      <c r="H10" t="s">
        <v>108</v>
      </c>
      <c r="I10" t="s">
        <v>109</v>
      </c>
      <c r="J10" s="5" t="s">
        <v>376</v>
      </c>
      <c r="K10" s="2">
        <v>46240</v>
      </c>
      <c r="L10" t="s">
        <v>17</v>
      </c>
      <c r="M10" s="6" t="s">
        <v>377</v>
      </c>
      <c r="N10" s="4" t="s">
        <v>378</v>
      </c>
      <c r="O10" s="11" t="str">
        <f>J10</f>
        <v>Skipped</v>
      </c>
      <c r="P10" s="17"/>
      <c r="Q10" s="11"/>
      <c r="R10" s="10" t="s">
        <v>350</v>
      </c>
    </row>
    <row r="11" spans="1:18" ht="30.75" customHeight="1" x14ac:dyDescent="0.3">
      <c r="A11" t="s">
        <v>111</v>
      </c>
      <c r="B11" t="s">
        <v>102</v>
      </c>
      <c r="C11" t="s">
        <v>112</v>
      </c>
      <c r="D11" t="s">
        <v>50</v>
      </c>
      <c r="E11" t="s">
        <v>344</v>
      </c>
      <c r="F11" t="s">
        <v>379</v>
      </c>
      <c r="G11" t="s">
        <v>380</v>
      </c>
      <c r="H11" t="s">
        <v>114</v>
      </c>
      <c r="I11" t="s">
        <v>115</v>
      </c>
      <c r="J11" s="5" t="s">
        <v>362</v>
      </c>
      <c r="K11" s="2">
        <v>46244</v>
      </c>
      <c r="L11" t="s">
        <v>9</v>
      </c>
      <c r="M11" s="6" t="s">
        <v>381</v>
      </c>
      <c r="N11" s="4" t="s">
        <v>382</v>
      </c>
      <c r="O11" s="11" t="s">
        <v>347</v>
      </c>
      <c r="P11" s="17">
        <v>46315</v>
      </c>
      <c r="Q11" s="11" t="s">
        <v>9</v>
      </c>
      <c r="R11" s="10" t="s">
        <v>383</v>
      </c>
    </row>
    <row r="12" spans="1:18" ht="30.75" customHeight="1" x14ac:dyDescent="0.3">
      <c r="A12" t="s">
        <v>120</v>
      </c>
      <c r="B12" t="s">
        <v>117</v>
      </c>
      <c r="C12" t="s">
        <v>121</v>
      </c>
      <c r="D12" t="s">
        <v>86</v>
      </c>
      <c r="E12" t="s">
        <v>344</v>
      </c>
      <c r="F12" t="s">
        <v>384</v>
      </c>
      <c r="G12" t="s">
        <v>385</v>
      </c>
      <c r="H12" t="s">
        <v>123</v>
      </c>
      <c r="I12" t="s">
        <v>124</v>
      </c>
      <c r="J12" s="5" t="s">
        <v>347</v>
      </c>
      <c r="K12" s="2">
        <v>46244</v>
      </c>
      <c r="L12" t="s">
        <v>9</v>
      </c>
      <c r="M12" s="6" t="s">
        <v>386</v>
      </c>
      <c r="N12" s="4" t="s">
        <v>349</v>
      </c>
      <c r="O12" s="11" t="str">
        <f t="shared" ref="O12:O18" si="0">J12</f>
        <v>Pass</v>
      </c>
      <c r="P12" s="17"/>
      <c r="Q12" s="11"/>
      <c r="R12" s="10" t="s">
        <v>350</v>
      </c>
    </row>
    <row r="13" spans="1:18" ht="30.75" customHeight="1" x14ac:dyDescent="0.3">
      <c r="A13" t="s">
        <v>125</v>
      </c>
      <c r="B13" t="s">
        <v>117</v>
      </c>
      <c r="C13" t="s">
        <v>126</v>
      </c>
      <c r="D13" t="s">
        <v>86</v>
      </c>
      <c r="E13" t="s">
        <v>344</v>
      </c>
      <c r="F13" t="s">
        <v>387</v>
      </c>
      <c r="G13" t="s">
        <v>388</v>
      </c>
      <c r="H13" t="s">
        <v>128</v>
      </c>
      <c r="I13" t="s">
        <v>129</v>
      </c>
      <c r="J13" s="5" t="s">
        <v>347</v>
      </c>
      <c r="K13" s="2">
        <v>46248</v>
      </c>
      <c r="L13" t="s">
        <v>17</v>
      </c>
      <c r="M13" s="6" t="s">
        <v>389</v>
      </c>
      <c r="N13" s="4" t="s">
        <v>349</v>
      </c>
      <c r="O13" s="11" t="str">
        <f t="shared" si="0"/>
        <v>Pass</v>
      </c>
      <c r="P13" s="17"/>
      <c r="Q13" s="11"/>
      <c r="R13" s="10" t="s">
        <v>350</v>
      </c>
    </row>
    <row r="14" spans="1:18" ht="30.75" customHeight="1" x14ac:dyDescent="0.3">
      <c r="A14" t="s">
        <v>131</v>
      </c>
      <c r="B14" t="s">
        <v>117</v>
      </c>
      <c r="C14" t="s">
        <v>132</v>
      </c>
      <c r="D14" t="s">
        <v>86</v>
      </c>
      <c r="E14" t="s">
        <v>344</v>
      </c>
      <c r="F14" t="s">
        <v>387</v>
      </c>
      <c r="G14" t="s">
        <v>390</v>
      </c>
      <c r="H14" t="s">
        <v>134</v>
      </c>
      <c r="I14" t="s">
        <v>135</v>
      </c>
      <c r="J14" s="5" t="s">
        <v>347</v>
      </c>
      <c r="K14" s="2">
        <v>46254</v>
      </c>
      <c r="L14" t="s">
        <v>13</v>
      </c>
      <c r="M14" s="6" t="s">
        <v>391</v>
      </c>
      <c r="N14" s="4" t="s">
        <v>349</v>
      </c>
      <c r="O14" s="11" t="str">
        <f t="shared" si="0"/>
        <v>Pass</v>
      </c>
      <c r="P14" s="17"/>
      <c r="Q14" s="11"/>
      <c r="R14" s="10" t="s">
        <v>350</v>
      </c>
    </row>
    <row r="15" spans="1:18" ht="30.75" customHeight="1" x14ac:dyDescent="0.3">
      <c r="A15" t="s">
        <v>138</v>
      </c>
      <c r="B15" t="s">
        <v>102</v>
      </c>
      <c r="C15" t="s">
        <v>139</v>
      </c>
      <c r="D15" t="s">
        <v>50</v>
      </c>
      <c r="E15" t="s">
        <v>344</v>
      </c>
      <c r="F15" t="s">
        <v>392</v>
      </c>
      <c r="G15" t="s">
        <v>393</v>
      </c>
      <c r="H15" t="s">
        <v>141</v>
      </c>
      <c r="I15" t="s">
        <v>142</v>
      </c>
      <c r="J15" s="5" t="s">
        <v>376</v>
      </c>
      <c r="K15" s="2">
        <v>46254</v>
      </c>
      <c r="L15" t="s">
        <v>13</v>
      </c>
      <c r="M15" s="6" t="s">
        <v>394</v>
      </c>
      <c r="N15" s="4" t="s">
        <v>378</v>
      </c>
      <c r="O15" s="11" t="str">
        <f t="shared" si="0"/>
        <v>Skipped</v>
      </c>
      <c r="P15" s="17"/>
      <c r="Q15" s="11"/>
      <c r="R15" s="10" t="s">
        <v>350</v>
      </c>
    </row>
    <row r="16" spans="1:18" ht="30.75" customHeight="1" x14ac:dyDescent="0.3">
      <c r="A16" t="s">
        <v>145</v>
      </c>
      <c r="B16" t="s">
        <v>117</v>
      </c>
      <c r="C16" t="s">
        <v>146</v>
      </c>
      <c r="D16" t="s">
        <v>147</v>
      </c>
      <c r="E16" t="s">
        <v>344</v>
      </c>
      <c r="F16" t="s">
        <v>395</v>
      </c>
      <c r="G16" t="s">
        <v>396</v>
      </c>
      <c r="H16" t="s">
        <v>149</v>
      </c>
      <c r="I16" t="s">
        <v>150</v>
      </c>
      <c r="J16" s="5" t="s">
        <v>347</v>
      </c>
      <c r="K16" s="2">
        <v>46258</v>
      </c>
      <c r="L16" t="s">
        <v>17</v>
      </c>
      <c r="M16" s="6" t="s">
        <v>397</v>
      </c>
      <c r="N16" s="4" t="s">
        <v>349</v>
      </c>
      <c r="O16" s="11" t="str">
        <f t="shared" si="0"/>
        <v>Pass</v>
      </c>
      <c r="P16" s="17"/>
      <c r="Q16" s="11"/>
      <c r="R16" s="10" t="s">
        <v>350</v>
      </c>
    </row>
    <row r="17" spans="1:18" ht="30.75" customHeight="1" x14ac:dyDescent="0.3">
      <c r="A17" t="s">
        <v>152</v>
      </c>
      <c r="B17" t="s">
        <v>117</v>
      </c>
      <c r="C17" t="s">
        <v>153</v>
      </c>
      <c r="D17" t="s">
        <v>147</v>
      </c>
      <c r="E17" t="s">
        <v>344</v>
      </c>
      <c r="F17" t="s">
        <v>398</v>
      </c>
      <c r="G17" t="s">
        <v>399</v>
      </c>
      <c r="H17" t="s">
        <v>155</v>
      </c>
      <c r="I17" t="s">
        <v>156</v>
      </c>
      <c r="J17" s="5" t="s">
        <v>347</v>
      </c>
      <c r="K17" s="2">
        <v>46264</v>
      </c>
      <c r="L17" t="s">
        <v>9</v>
      </c>
      <c r="M17" s="6" t="s">
        <v>400</v>
      </c>
      <c r="N17" s="4" t="s">
        <v>349</v>
      </c>
      <c r="O17" s="11" t="str">
        <f t="shared" si="0"/>
        <v>Pass</v>
      </c>
      <c r="P17" s="17"/>
      <c r="Q17" s="11"/>
      <c r="R17" s="10" t="s">
        <v>350</v>
      </c>
    </row>
    <row r="18" spans="1:18" ht="30.75" customHeight="1" x14ac:dyDescent="0.3">
      <c r="A18" t="s">
        <v>161</v>
      </c>
      <c r="B18" t="s">
        <v>158</v>
      </c>
      <c r="C18" t="s">
        <v>162</v>
      </c>
      <c r="D18" t="s">
        <v>50</v>
      </c>
      <c r="E18" t="s">
        <v>344</v>
      </c>
      <c r="F18" t="s">
        <v>401</v>
      </c>
      <c r="G18" t="s">
        <v>402</v>
      </c>
      <c r="H18" t="s">
        <v>164</v>
      </c>
      <c r="I18" t="s">
        <v>165</v>
      </c>
      <c r="J18" s="5" t="s">
        <v>347</v>
      </c>
      <c r="K18" s="2">
        <v>46269</v>
      </c>
      <c r="L18" t="s">
        <v>13</v>
      </c>
      <c r="M18" s="6" t="s">
        <v>403</v>
      </c>
      <c r="N18" s="4" t="s">
        <v>349</v>
      </c>
      <c r="O18" s="11" t="str">
        <f t="shared" si="0"/>
        <v>Pass</v>
      </c>
      <c r="P18" s="17"/>
      <c r="Q18" s="11"/>
      <c r="R18" s="10" t="s">
        <v>350</v>
      </c>
    </row>
    <row r="19" spans="1:18" ht="30.75" customHeight="1" x14ac:dyDescent="0.3">
      <c r="A19" t="s">
        <v>166</v>
      </c>
      <c r="B19" t="s">
        <v>158</v>
      </c>
      <c r="C19" t="s">
        <v>167</v>
      </c>
      <c r="D19" t="s">
        <v>50</v>
      </c>
      <c r="E19" t="s">
        <v>344</v>
      </c>
      <c r="F19" t="s">
        <v>404</v>
      </c>
      <c r="G19" t="s">
        <v>405</v>
      </c>
      <c r="H19" t="s">
        <v>169</v>
      </c>
      <c r="I19" t="s">
        <v>170</v>
      </c>
      <c r="J19" s="5" t="s">
        <v>362</v>
      </c>
      <c r="K19" s="2">
        <v>46274</v>
      </c>
      <c r="L19" t="s">
        <v>17</v>
      </c>
      <c r="M19" s="6" t="s">
        <v>406</v>
      </c>
      <c r="N19" s="4" t="s">
        <v>407</v>
      </c>
      <c r="O19" s="11" t="s">
        <v>347</v>
      </c>
      <c r="P19" s="17">
        <v>46315</v>
      </c>
      <c r="Q19" s="11" t="s">
        <v>17</v>
      </c>
      <c r="R19" s="10" t="s">
        <v>408</v>
      </c>
    </row>
    <row r="20" spans="1:18" ht="30.75" customHeight="1" x14ac:dyDescent="0.3">
      <c r="A20" t="s">
        <v>175</v>
      </c>
      <c r="B20" t="s">
        <v>172</v>
      </c>
      <c r="C20" t="s">
        <v>176</v>
      </c>
      <c r="D20" t="s">
        <v>63</v>
      </c>
      <c r="E20" t="s">
        <v>344</v>
      </c>
      <c r="F20" t="s">
        <v>409</v>
      </c>
      <c r="G20" t="s">
        <v>410</v>
      </c>
      <c r="H20" t="s">
        <v>178</v>
      </c>
      <c r="I20" t="s">
        <v>179</v>
      </c>
      <c r="J20" s="5" t="s">
        <v>347</v>
      </c>
      <c r="K20" s="2">
        <v>46277</v>
      </c>
      <c r="L20" t="s">
        <v>13</v>
      </c>
      <c r="M20" s="6" t="s">
        <v>411</v>
      </c>
      <c r="N20" s="4" t="s">
        <v>349</v>
      </c>
      <c r="O20" s="11" t="str">
        <f>J20</f>
        <v>Pass</v>
      </c>
      <c r="P20" s="17"/>
      <c r="Q20" s="11"/>
      <c r="R20" s="10" t="s">
        <v>350</v>
      </c>
    </row>
    <row r="21" spans="1:18" ht="30.75" customHeight="1" x14ac:dyDescent="0.3">
      <c r="A21" t="s">
        <v>180</v>
      </c>
      <c r="B21" t="s">
        <v>172</v>
      </c>
      <c r="C21" t="s">
        <v>181</v>
      </c>
      <c r="D21" t="s">
        <v>63</v>
      </c>
      <c r="E21" t="s">
        <v>344</v>
      </c>
      <c r="F21" t="s">
        <v>412</v>
      </c>
      <c r="G21" t="s">
        <v>413</v>
      </c>
      <c r="H21" t="s">
        <v>183</v>
      </c>
      <c r="I21" t="s">
        <v>184</v>
      </c>
      <c r="J21" s="5" t="s">
        <v>347</v>
      </c>
      <c r="K21" s="2">
        <v>46279</v>
      </c>
      <c r="L21" t="s">
        <v>13</v>
      </c>
      <c r="M21" s="6" t="s">
        <v>414</v>
      </c>
      <c r="N21" s="4" t="s">
        <v>349</v>
      </c>
      <c r="O21" s="11" t="str">
        <f>J21</f>
        <v>Pass</v>
      </c>
      <c r="P21" s="17"/>
      <c r="Q21" s="11"/>
      <c r="R21" s="10" t="s">
        <v>350</v>
      </c>
    </row>
    <row r="22" spans="1:18" ht="30.75" customHeight="1" x14ac:dyDescent="0.3">
      <c r="A22" t="s">
        <v>185</v>
      </c>
      <c r="B22" t="s">
        <v>172</v>
      </c>
      <c r="C22" t="s">
        <v>186</v>
      </c>
      <c r="D22" t="s">
        <v>63</v>
      </c>
      <c r="E22" t="s">
        <v>344</v>
      </c>
      <c r="F22" t="s">
        <v>415</v>
      </c>
      <c r="G22" t="s">
        <v>416</v>
      </c>
      <c r="H22" t="s">
        <v>188</v>
      </c>
      <c r="I22" t="s">
        <v>189</v>
      </c>
      <c r="J22" s="5" t="s">
        <v>347</v>
      </c>
      <c r="K22" s="2">
        <v>46285</v>
      </c>
      <c r="L22" t="s">
        <v>13</v>
      </c>
      <c r="M22" s="6" t="s">
        <v>417</v>
      </c>
      <c r="N22" s="4" t="s">
        <v>349</v>
      </c>
      <c r="O22" s="11" t="str">
        <f>J22</f>
        <v>Pass</v>
      </c>
      <c r="P22" s="17"/>
      <c r="Q22" s="11"/>
      <c r="R22" s="10" t="s">
        <v>350</v>
      </c>
    </row>
    <row r="23" spans="1:18" ht="30.75" customHeight="1" x14ac:dyDescent="0.3">
      <c r="A23" t="s">
        <v>193</v>
      </c>
      <c r="B23" t="s">
        <v>172</v>
      </c>
      <c r="C23" t="s">
        <v>194</v>
      </c>
      <c r="D23" t="s">
        <v>86</v>
      </c>
      <c r="E23" t="s">
        <v>344</v>
      </c>
      <c r="F23" t="s">
        <v>418</v>
      </c>
      <c r="G23" t="s">
        <v>419</v>
      </c>
      <c r="H23" t="s">
        <v>196</v>
      </c>
      <c r="I23" t="s">
        <v>197</v>
      </c>
      <c r="J23" s="5" t="s">
        <v>347</v>
      </c>
      <c r="K23" s="2">
        <v>46288</v>
      </c>
      <c r="L23" t="s">
        <v>9</v>
      </c>
      <c r="M23" s="6" t="s">
        <v>420</v>
      </c>
      <c r="N23" s="4" t="s">
        <v>349</v>
      </c>
      <c r="O23" s="11" t="str">
        <f>J23</f>
        <v>Pass</v>
      </c>
      <c r="P23" s="17"/>
      <c r="Q23" s="11"/>
      <c r="R23" s="10" t="s">
        <v>350</v>
      </c>
    </row>
    <row r="24" spans="1:18" ht="30.75" customHeight="1" x14ac:dyDescent="0.3">
      <c r="A24" t="s">
        <v>201</v>
      </c>
      <c r="B24" t="s">
        <v>158</v>
      </c>
      <c r="C24" t="s">
        <v>202</v>
      </c>
      <c r="D24" t="s">
        <v>86</v>
      </c>
      <c r="E24" t="s">
        <v>344</v>
      </c>
      <c r="F24" t="s">
        <v>421</v>
      </c>
      <c r="G24" t="s">
        <v>422</v>
      </c>
      <c r="H24" t="s">
        <v>204</v>
      </c>
      <c r="I24" t="s">
        <v>205</v>
      </c>
      <c r="J24" s="5" t="s">
        <v>347</v>
      </c>
      <c r="K24" s="2">
        <v>46288</v>
      </c>
      <c r="L24" t="s">
        <v>9</v>
      </c>
      <c r="M24" s="6" t="s">
        <v>423</v>
      </c>
      <c r="N24" s="4" t="s">
        <v>349</v>
      </c>
      <c r="O24" s="11" t="str">
        <f>J24</f>
        <v>Pass</v>
      </c>
      <c r="P24" s="17"/>
      <c r="Q24" s="11"/>
      <c r="R24" s="10" t="s">
        <v>350</v>
      </c>
    </row>
    <row r="25" spans="1:18" ht="30.75" customHeight="1" x14ac:dyDescent="0.3">
      <c r="A25" t="s">
        <v>209</v>
      </c>
      <c r="B25" t="s">
        <v>172</v>
      </c>
      <c r="C25" t="s">
        <v>210</v>
      </c>
      <c r="D25" t="s">
        <v>63</v>
      </c>
      <c r="E25" t="s">
        <v>344</v>
      </c>
      <c r="F25" t="s">
        <v>424</v>
      </c>
      <c r="G25" t="s">
        <v>425</v>
      </c>
      <c r="H25" t="s">
        <v>212</v>
      </c>
      <c r="I25" t="s">
        <v>213</v>
      </c>
      <c r="J25" s="5" t="s">
        <v>362</v>
      </c>
      <c r="K25" s="2">
        <v>46290</v>
      </c>
      <c r="L25" t="s">
        <v>17</v>
      </c>
      <c r="M25" s="6" t="s">
        <v>426</v>
      </c>
      <c r="N25" s="4" t="s">
        <v>427</v>
      </c>
      <c r="O25" s="11" t="s">
        <v>347</v>
      </c>
      <c r="P25" s="17">
        <v>46315</v>
      </c>
      <c r="Q25" s="11" t="s">
        <v>17</v>
      </c>
      <c r="R25" s="10" t="s">
        <v>428</v>
      </c>
    </row>
    <row r="26" spans="1:18" ht="30.75" customHeight="1" x14ac:dyDescent="0.3">
      <c r="A26" t="s">
        <v>219</v>
      </c>
      <c r="B26" t="s">
        <v>216</v>
      </c>
      <c r="C26" t="s">
        <v>220</v>
      </c>
      <c r="D26" t="s">
        <v>63</v>
      </c>
      <c r="E26" t="s">
        <v>344</v>
      </c>
      <c r="F26" t="s">
        <v>429</v>
      </c>
      <c r="G26" t="s">
        <v>430</v>
      </c>
      <c r="H26" t="s">
        <v>222</v>
      </c>
      <c r="I26" t="s">
        <v>223</v>
      </c>
      <c r="J26" s="5" t="s">
        <v>347</v>
      </c>
      <c r="K26" s="2">
        <v>46294</v>
      </c>
      <c r="L26" t="s">
        <v>17</v>
      </c>
      <c r="M26" s="6" t="s">
        <v>431</v>
      </c>
      <c r="N26" s="4" t="s">
        <v>349</v>
      </c>
      <c r="O26" s="11" t="str">
        <f t="shared" ref="O26:O35" si="1">J26</f>
        <v>Pass</v>
      </c>
      <c r="P26" s="17"/>
      <c r="Q26" s="11"/>
      <c r="R26" s="10" t="s">
        <v>350</v>
      </c>
    </row>
    <row r="27" spans="1:18" ht="30.75" customHeight="1" x14ac:dyDescent="0.3">
      <c r="A27" t="s">
        <v>224</v>
      </c>
      <c r="B27" t="s">
        <v>216</v>
      </c>
      <c r="C27" t="s">
        <v>225</v>
      </c>
      <c r="D27" t="s">
        <v>63</v>
      </c>
      <c r="E27" t="s">
        <v>344</v>
      </c>
      <c r="F27" t="s">
        <v>432</v>
      </c>
      <c r="G27" t="s">
        <v>433</v>
      </c>
      <c r="H27" t="s">
        <v>227</v>
      </c>
      <c r="I27" t="s">
        <v>228</v>
      </c>
      <c r="J27" s="5" t="s">
        <v>347</v>
      </c>
      <c r="K27" s="2">
        <v>46294</v>
      </c>
      <c r="L27" t="s">
        <v>17</v>
      </c>
      <c r="M27" s="6" t="s">
        <v>434</v>
      </c>
      <c r="N27" s="4" t="s">
        <v>349</v>
      </c>
      <c r="O27" s="11" t="str">
        <f t="shared" si="1"/>
        <v>Pass</v>
      </c>
      <c r="P27" s="17"/>
      <c r="Q27" s="11"/>
      <c r="R27" s="10" t="s">
        <v>350</v>
      </c>
    </row>
    <row r="28" spans="1:18" ht="30.75" customHeight="1" x14ac:dyDescent="0.3">
      <c r="A28" t="s">
        <v>232</v>
      </c>
      <c r="B28" t="s">
        <v>229</v>
      </c>
      <c r="C28" t="s">
        <v>233</v>
      </c>
      <c r="D28" t="s">
        <v>50</v>
      </c>
      <c r="E28" t="s">
        <v>344</v>
      </c>
      <c r="F28" t="s">
        <v>435</v>
      </c>
      <c r="G28" t="s">
        <v>436</v>
      </c>
      <c r="H28" t="s">
        <v>235</v>
      </c>
      <c r="I28" t="s">
        <v>236</v>
      </c>
      <c r="J28" s="5" t="s">
        <v>347</v>
      </c>
      <c r="K28" s="2">
        <v>46295</v>
      </c>
      <c r="L28" t="s">
        <v>17</v>
      </c>
      <c r="M28" s="6" t="s">
        <v>437</v>
      </c>
      <c r="N28" s="4" t="s">
        <v>349</v>
      </c>
      <c r="O28" s="11" t="str">
        <f t="shared" si="1"/>
        <v>Pass</v>
      </c>
      <c r="P28" s="17"/>
      <c r="Q28" s="11"/>
      <c r="R28" s="10" t="s">
        <v>350</v>
      </c>
    </row>
    <row r="29" spans="1:18" ht="30.75" customHeight="1" x14ac:dyDescent="0.3">
      <c r="A29" t="s">
        <v>237</v>
      </c>
      <c r="B29" t="s">
        <v>229</v>
      </c>
      <c r="C29" t="s">
        <v>238</v>
      </c>
      <c r="D29" t="s">
        <v>86</v>
      </c>
      <c r="E29" t="s">
        <v>344</v>
      </c>
      <c r="F29" t="s">
        <v>438</v>
      </c>
      <c r="G29" t="s">
        <v>439</v>
      </c>
      <c r="H29" t="s">
        <v>240</v>
      </c>
      <c r="I29" t="s">
        <v>241</v>
      </c>
      <c r="J29" s="5" t="s">
        <v>347</v>
      </c>
      <c r="K29" s="2">
        <v>46297</v>
      </c>
      <c r="L29" t="s">
        <v>9</v>
      </c>
      <c r="M29" s="6" t="s">
        <v>440</v>
      </c>
      <c r="N29" s="4" t="s">
        <v>349</v>
      </c>
      <c r="O29" s="11" t="str">
        <f t="shared" si="1"/>
        <v>Pass</v>
      </c>
      <c r="P29" s="17"/>
      <c r="Q29" s="11"/>
      <c r="R29" s="10" t="s">
        <v>350</v>
      </c>
    </row>
    <row r="30" spans="1:18" ht="30.75" customHeight="1" x14ac:dyDescent="0.3">
      <c r="A30" t="s">
        <v>244</v>
      </c>
      <c r="B30" t="s">
        <v>216</v>
      </c>
      <c r="C30" t="s">
        <v>245</v>
      </c>
      <c r="D30" t="s">
        <v>63</v>
      </c>
      <c r="E30" t="s">
        <v>344</v>
      </c>
      <c r="F30" t="s">
        <v>441</v>
      </c>
      <c r="G30" t="s">
        <v>442</v>
      </c>
      <c r="H30" t="s">
        <v>247</v>
      </c>
      <c r="I30" t="s">
        <v>248</v>
      </c>
      <c r="J30" s="5" t="s">
        <v>347</v>
      </c>
      <c r="K30" s="2">
        <v>46300</v>
      </c>
      <c r="L30" t="s">
        <v>13</v>
      </c>
      <c r="M30" s="6" t="s">
        <v>443</v>
      </c>
      <c r="N30" s="4" t="s">
        <v>349</v>
      </c>
      <c r="O30" s="11" t="str">
        <f t="shared" si="1"/>
        <v>Pass</v>
      </c>
      <c r="P30" s="17"/>
      <c r="Q30" s="11"/>
      <c r="R30" s="10" t="s">
        <v>350</v>
      </c>
    </row>
    <row r="31" spans="1:18" ht="30.75" customHeight="1" x14ac:dyDescent="0.3">
      <c r="A31" t="s">
        <v>251</v>
      </c>
      <c r="B31" t="s">
        <v>229</v>
      </c>
      <c r="C31" t="s">
        <v>252</v>
      </c>
      <c r="D31" t="s">
        <v>86</v>
      </c>
      <c r="E31" t="s">
        <v>344</v>
      </c>
      <c r="F31" t="s">
        <v>438</v>
      </c>
      <c r="G31" t="s">
        <v>444</v>
      </c>
      <c r="H31" t="s">
        <v>254</v>
      </c>
      <c r="I31" t="s">
        <v>255</v>
      </c>
      <c r="J31" s="5" t="s">
        <v>347</v>
      </c>
      <c r="K31" s="2">
        <v>46306</v>
      </c>
      <c r="L31" t="s">
        <v>9</v>
      </c>
      <c r="M31" s="6" t="s">
        <v>445</v>
      </c>
      <c r="N31" s="4" t="s">
        <v>349</v>
      </c>
      <c r="O31" s="11" t="str">
        <f t="shared" si="1"/>
        <v>Pass</v>
      </c>
      <c r="P31" s="17"/>
      <c r="Q31" s="11"/>
      <c r="R31" s="10" t="s">
        <v>350</v>
      </c>
    </row>
    <row r="32" spans="1:18" ht="30.75" customHeight="1" x14ac:dyDescent="0.3">
      <c r="A32" t="s">
        <v>258</v>
      </c>
      <c r="B32" t="s">
        <v>229</v>
      </c>
      <c r="C32" t="s">
        <v>259</v>
      </c>
      <c r="D32" t="s">
        <v>147</v>
      </c>
      <c r="E32" t="s">
        <v>344</v>
      </c>
      <c r="F32" t="s">
        <v>446</v>
      </c>
      <c r="G32" t="s">
        <v>447</v>
      </c>
      <c r="H32" t="s">
        <v>261</v>
      </c>
      <c r="I32" t="s">
        <v>262</v>
      </c>
      <c r="J32" s="5" t="s">
        <v>347</v>
      </c>
      <c r="K32" s="2">
        <v>46308</v>
      </c>
      <c r="L32" t="s">
        <v>17</v>
      </c>
      <c r="M32" s="6" t="s">
        <v>448</v>
      </c>
      <c r="N32" s="4" t="s">
        <v>349</v>
      </c>
      <c r="O32" s="11" t="str">
        <f t="shared" si="1"/>
        <v>Pass</v>
      </c>
      <c r="P32" s="17"/>
      <c r="Q32" s="11"/>
      <c r="R32" s="10" t="s">
        <v>350</v>
      </c>
    </row>
    <row r="33" spans="1:18" ht="30.75" customHeight="1" x14ac:dyDescent="0.3">
      <c r="A33" t="s">
        <v>264</v>
      </c>
      <c r="B33" t="s">
        <v>229</v>
      </c>
      <c r="C33" t="s">
        <v>265</v>
      </c>
      <c r="D33" t="s">
        <v>147</v>
      </c>
      <c r="E33" t="s">
        <v>344</v>
      </c>
      <c r="F33" t="s">
        <v>449</v>
      </c>
      <c r="G33" t="s">
        <v>450</v>
      </c>
      <c r="H33" t="s">
        <v>267</v>
      </c>
      <c r="I33" t="s">
        <v>268</v>
      </c>
      <c r="J33" s="5" t="s">
        <v>347</v>
      </c>
      <c r="K33" s="2">
        <v>46311</v>
      </c>
      <c r="L33" t="s">
        <v>13</v>
      </c>
      <c r="M33" s="6" t="s">
        <v>451</v>
      </c>
      <c r="N33" s="4" t="s">
        <v>349</v>
      </c>
      <c r="O33" s="11" t="str">
        <f t="shared" si="1"/>
        <v>Pass</v>
      </c>
      <c r="P33" s="17"/>
      <c r="Q33" s="11"/>
      <c r="R33" s="10" t="s">
        <v>350</v>
      </c>
    </row>
    <row r="34" spans="1:18" ht="30.75" customHeight="1" x14ac:dyDescent="0.3">
      <c r="A34" t="s">
        <v>273</v>
      </c>
      <c r="B34" t="s">
        <v>270</v>
      </c>
      <c r="C34" t="s">
        <v>274</v>
      </c>
      <c r="D34" t="s">
        <v>50</v>
      </c>
      <c r="E34" t="s">
        <v>344</v>
      </c>
      <c r="F34" t="s">
        <v>452</v>
      </c>
      <c r="G34" t="s">
        <v>453</v>
      </c>
      <c r="H34" t="s">
        <v>276</v>
      </c>
      <c r="I34" t="s">
        <v>277</v>
      </c>
      <c r="J34" s="5" t="s">
        <v>347</v>
      </c>
      <c r="K34" s="2">
        <v>46311</v>
      </c>
      <c r="L34" t="s">
        <v>13</v>
      </c>
      <c r="M34" s="6" t="s">
        <v>454</v>
      </c>
      <c r="N34" s="4" t="s">
        <v>349</v>
      </c>
      <c r="O34" s="11" t="str">
        <f t="shared" si="1"/>
        <v>Pass</v>
      </c>
      <c r="P34" s="17"/>
      <c r="Q34" s="11"/>
      <c r="R34" s="10" t="s">
        <v>350</v>
      </c>
    </row>
    <row r="35" spans="1:18" ht="30.75" customHeight="1" x14ac:dyDescent="0.3">
      <c r="A35" t="s">
        <v>278</v>
      </c>
      <c r="B35" t="s">
        <v>270</v>
      </c>
      <c r="C35" t="s">
        <v>279</v>
      </c>
      <c r="D35" t="s">
        <v>50</v>
      </c>
      <c r="E35" t="s">
        <v>344</v>
      </c>
      <c r="F35" t="s">
        <v>455</v>
      </c>
      <c r="G35" t="s">
        <v>456</v>
      </c>
      <c r="H35" t="s">
        <v>281</v>
      </c>
      <c r="I35" t="s">
        <v>282</v>
      </c>
      <c r="J35" s="5" t="s">
        <v>347</v>
      </c>
      <c r="K35" s="2">
        <v>46314</v>
      </c>
      <c r="L35" t="s">
        <v>17</v>
      </c>
      <c r="M35" s="6" t="s">
        <v>457</v>
      </c>
      <c r="N35" s="4" t="s">
        <v>349</v>
      </c>
      <c r="O35" s="11" t="str">
        <f t="shared" si="1"/>
        <v>Pass</v>
      </c>
      <c r="P35" s="17"/>
      <c r="Q35" s="11"/>
      <c r="R35" s="10" t="s">
        <v>350</v>
      </c>
    </row>
    <row r="36" spans="1:18" ht="30.75" customHeight="1" x14ac:dyDescent="0.3">
      <c r="A36" t="s">
        <v>283</v>
      </c>
      <c r="B36" t="s">
        <v>270</v>
      </c>
      <c r="C36" t="s">
        <v>284</v>
      </c>
      <c r="D36" t="s">
        <v>50</v>
      </c>
      <c r="E36" t="s">
        <v>344</v>
      </c>
      <c r="F36" t="s">
        <v>458</v>
      </c>
      <c r="G36" t="s">
        <v>459</v>
      </c>
      <c r="H36" t="s">
        <v>286</v>
      </c>
      <c r="I36" t="s">
        <v>287</v>
      </c>
      <c r="J36" s="5" t="s">
        <v>362</v>
      </c>
      <c r="K36" s="2">
        <v>46314</v>
      </c>
      <c r="L36" t="s">
        <v>9</v>
      </c>
      <c r="M36" s="6" t="s">
        <v>460</v>
      </c>
      <c r="N36" s="4" t="s">
        <v>461</v>
      </c>
      <c r="O36" s="11" t="s">
        <v>347</v>
      </c>
      <c r="P36" s="17">
        <v>46315</v>
      </c>
      <c r="Q36" s="11" t="s">
        <v>9</v>
      </c>
      <c r="R36" s="10" t="s">
        <v>462</v>
      </c>
    </row>
    <row r="37" spans="1:18" ht="30.75" customHeight="1" x14ac:dyDescent="0.3">
      <c r="A37" t="s">
        <v>291</v>
      </c>
      <c r="B37" t="s">
        <v>270</v>
      </c>
      <c r="C37" t="s">
        <v>292</v>
      </c>
      <c r="D37" t="s">
        <v>86</v>
      </c>
      <c r="E37" t="s">
        <v>344</v>
      </c>
      <c r="F37" t="s">
        <v>463</v>
      </c>
      <c r="G37" t="s">
        <v>464</v>
      </c>
      <c r="H37" t="s">
        <v>294</v>
      </c>
      <c r="I37" t="s">
        <v>295</v>
      </c>
      <c r="J37" s="5" t="s">
        <v>362</v>
      </c>
      <c r="K37" s="2">
        <v>46315</v>
      </c>
      <c r="L37" t="s">
        <v>13</v>
      </c>
      <c r="M37" s="6" t="s">
        <v>465</v>
      </c>
      <c r="N37" s="4" t="s">
        <v>466</v>
      </c>
      <c r="O37" s="11" t="s">
        <v>347</v>
      </c>
      <c r="P37" s="17">
        <v>46315</v>
      </c>
      <c r="Q37" s="11" t="s">
        <v>13</v>
      </c>
      <c r="R37" s="10" t="s">
        <v>467</v>
      </c>
    </row>
    <row r="38" spans="1:18" ht="30.75" customHeight="1" x14ac:dyDescent="0.3">
      <c r="A38" t="s">
        <v>299</v>
      </c>
      <c r="B38" t="s">
        <v>270</v>
      </c>
      <c r="C38" t="s">
        <v>300</v>
      </c>
      <c r="D38" t="s">
        <v>301</v>
      </c>
      <c r="E38" t="s">
        <v>344</v>
      </c>
      <c r="F38" t="s">
        <v>468</v>
      </c>
      <c r="G38" t="s">
        <v>469</v>
      </c>
      <c r="H38" t="s">
        <v>303</v>
      </c>
      <c r="I38" t="s">
        <v>304</v>
      </c>
      <c r="J38" s="5" t="s">
        <v>376</v>
      </c>
      <c r="K38" s="2">
        <v>46315</v>
      </c>
      <c r="L38" t="s">
        <v>9</v>
      </c>
      <c r="M38" s="6" t="s">
        <v>470</v>
      </c>
      <c r="N38" s="4" t="s">
        <v>378</v>
      </c>
      <c r="O38" s="11" t="str">
        <f>J38</f>
        <v>Skipped</v>
      </c>
      <c r="P38" s="17"/>
      <c r="Q38" s="11"/>
      <c r="R38" s="10" t="s">
        <v>350</v>
      </c>
    </row>
    <row r="39" spans="1:18" ht="30.75" customHeight="1" x14ac:dyDescent="0.3">
      <c r="A39" t="s">
        <v>308</v>
      </c>
      <c r="B39" t="s">
        <v>270</v>
      </c>
      <c r="C39" t="s">
        <v>309</v>
      </c>
      <c r="D39" t="s">
        <v>50</v>
      </c>
      <c r="E39" t="s">
        <v>471</v>
      </c>
      <c r="F39" t="s">
        <v>472</v>
      </c>
      <c r="G39" t="s">
        <v>473</v>
      </c>
      <c r="H39" t="s">
        <v>311</v>
      </c>
      <c r="I39" t="s">
        <v>312</v>
      </c>
      <c r="J39" s="5" t="s">
        <v>347</v>
      </c>
      <c r="K39" s="2">
        <v>46315</v>
      </c>
      <c r="L39" t="s">
        <v>17</v>
      </c>
      <c r="M39" s="6" t="s">
        <v>474</v>
      </c>
      <c r="N39" s="4" t="s">
        <v>349</v>
      </c>
      <c r="O39" s="11" t="str">
        <f>J39</f>
        <v>Pass</v>
      </c>
      <c r="P39" s="17"/>
      <c r="Q39" s="11"/>
      <c r="R39" s="10" t="s">
        <v>350</v>
      </c>
    </row>
    <row r="40" spans="1:18" ht="30.75" customHeight="1" x14ac:dyDescent="0.3">
      <c r="A40" t="s">
        <v>315</v>
      </c>
      <c r="B40" t="s">
        <v>270</v>
      </c>
      <c r="C40" t="s">
        <v>316</v>
      </c>
      <c r="D40" t="s">
        <v>50</v>
      </c>
      <c r="E40" t="s">
        <v>344</v>
      </c>
      <c r="F40" t="s">
        <v>475</v>
      </c>
      <c r="G40" t="s">
        <v>476</v>
      </c>
      <c r="H40" t="s">
        <v>318</v>
      </c>
      <c r="I40" t="s">
        <v>319</v>
      </c>
      <c r="J40" s="5" t="s">
        <v>347</v>
      </c>
      <c r="K40" s="2">
        <v>46315</v>
      </c>
      <c r="L40" t="s">
        <v>13</v>
      </c>
      <c r="M40" s="6" t="s">
        <v>477</v>
      </c>
      <c r="N40" s="4" t="s">
        <v>349</v>
      </c>
      <c r="O40" s="11" t="str">
        <f>J40</f>
        <v>Pass</v>
      </c>
      <c r="P40" s="17"/>
      <c r="Q40" s="11"/>
      <c r="R40" s="10" t="s">
        <v>350</v>
      </c>
    </row>
    <row r="41" spans="1:18" ht="30.75" customHeight="1" x14ac:dyDescent="0.3">
      <c r="A41" t="s">
        <v>321</v>
      </c>
      <c r="B41" t="s">
        <v>270</v>
      </c>
      <c r="C41" t="s">
        <v>322</v>
      </c>
      <c r="D41" t="s">
        <v>86</v>
      </c>
      <c r="E41" t="s">
        <v>471</v>
      </c>
      <c r="F41" t="s">
        <v>478</v>
      </c>
      <c r="G41" t="s">
        <v>479</v>
      </c>
      <c r="H41" t="s">
        <v>324</v>
      </c>
      <c r="I41" t="s">
        <v>325</v>
      </c>
      <c r="J41" s="5" t="s">
        <v>347</v>
      </c>
      <c r="K41" s="2">
        <v>46315</v>
      </c>
      <c r="L41" t="s">
        <v>9</v>
      </c>
      <c r="M41" s="6" t="s">
        <v>480</v>
      </c>
      <c r="N41" s="4" t="s">
        <v>349</v>
      </c>
      <c r="O41" s="11" t="str">
        <f>J41</f>
        <v>Pass</v>
      </c>
      <c r="P41" s="17"/>
      <c r="Q41" s="11"/>
      <c r="R41" s="10" t="s">
        <v>350</v>
      </c>
    </row>
  </sheetData>
  <conditionalFormatting sqref="J2:J41">
    <cfRule type="expression" dxfId="17" priority="3">
      <formula>$J2="Pass"</formula>
    </cfRule>
    <cfRule type="expression" dxfId="16" priority="4">
      <formula>$J2="Fail"</formula>
    </cfRule>
    <cfRule type="expression" dxfId="15" priority="5">
      <formula>$J2="Blocked"</formula>
    </cfRule>
    <cfRule type="expression" dxfId="14" priority="6">
      <formula>$J2="Skipped"</formula>
    </cfRule>
  </conditionalFormatting>
  <conditionalFormatting sqref="M2:M41">
    <cfRule type="containsText" dxfId="13" priority="1" operator="containsText" text="pendiente de documentar">
      <formula>NOT(ISERROR(SEARCH("pendiente de documentar",M2)))</formula>
    </cfRule>
  </conditionalFormatting>
  <conditionalFormatting sqref="N2:N41">
    <cfRule type="containsText" dxfId="12" priority="2" operator="containsText" text="No registrado">
      <formula>NOT(ISERROR(SEARCH("No registrado",N2)))</formula>
    </cfRule>
    <cfRule type="expression" dxfId="11" priority="7">
      <formula>LEFT($N2,4)="BUG-"</formula>
    </cfRule>
  </conditionalFormatting>
  <conditionalFormatting sqref="O2:O41">
    <cfRule type="expression" dxfId="10" priority="8">
      <formula>$O2="Pass"</formula>
    </cfRule>
    <cfRule type="expression" dxfId="9" priority="9">
      <formula>$O2="Fail"</formula>
    </cfRule>
    <cfRule type="expression" dxfId="8" priority="10">
      <formula>$O2="Blocked"</formula>
    </cfRule>
    <cfRule type="expression" dxfId="7" priority="11">
      <formula>$O2="Skipped"</formula>
    </cfRule>
  </conditionalFormatting>
  <dataValidations count="2">
    <dataValidation type="list" showErrorMessage="1" errorTitle="Estado inválido" error="Use Pass, Fail, Blocked o Skipped." sqref="J2:J41" xr:uid="{00000000-0002-0000-0100-000000000000}">
      <formula1>"Pass,Fail,Blocked,Skipped"</formula1>
    </dataValidation>
    <dataValidation type="list" allowBlank="1" sqref="O2:O41" xr:uid="{00000000-0002-0000-0100-000001000000}">
      <formula1>"Pass,Fail,Blocked,Skipped"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workbookViewId="0"/>
  </sheetViews>
  <sheetFormatPr defaultRowHeight="14.4" x14ac:dyDescent="0.3"/>
  <cols>
    <col min="1" max="1" width="48" customWidth="1"/>
    <col min="2" max="2" width="20" customWidth="1"/>
    <col min="3" max="3" width="12" customWidth="1"/>
    <col min="4" max="4" width="22" customWidth="1"/>
    <col min="5" max="5" width="12" customWidth="1"/>
  </cols>
  <sheetData>
    <row r="1" spans="1:5" ht="18" customHeight="1" x14ac:dyDescent="0.35">
      <c r="A1" s="7" t="s">
        <v>481</v>
      </c>
    </row>
    <row r="3" spans="1:5" x14ac:dyDescent="0.3">
      <c r="A3" s="18" t="s">
        <v>482</v>
      </c>
      <c r="B3" s="18" t="s">
        <v>483</v>
      </c>
      <c r="C3" s="18" t="s">
        <v>484</v>
      </c>
      <c r="D3" s="18" t="s">
        <v>485</v>
      </c>
      <c r="E3" s="18" t="s">
        <v>486</v>
      </c>
    </row>
    <row r="4" spans="1:5" x14ac:dyDescent="0.3">
      <c r="A4" s="24" t="s">
        <v>347</v>
      </c>
      <c r="B4" s="24">
        <f>COUNTIF('Log de Ejecución'!$J$2:$J$41,A4)</f>
        <v>31</v>
      </c>
      <c r="C4" s="25">
        <f>IF($B$8=0,0,B4/$B$8)</f>
        <v>0.77500000000000002</v>
      </c>
      <c r="D4" s="24">
        <f>COUNTIF('Log de Ejecución'!$O$2:$O$41,A4)</f>
        <v>37</v>
      </c>
      <c r="E4" s="25">
        <f>IF($D$8=0,0,D4/$D$8)</f>
        <v>0.92500000000000004</v>
      </c>
    </row>
    <row r="5" spans="1:5" x14ac:dyDescent="0.3">
      <c r="A5" s="24" t="s">
        <v>362</v>
      </c>
      <c r="B5" s="24">
        <f>COUNTIF('Log de Ejecución'!$J$2:$J$41,A5)</f>
        <v>6</v>
      </c>
      <c r="C5" s="25">
        <f>IF($B$8=0,0,B5/$B$8)</f>
        <v>0.15</v>
      </c>
      <c r="D5" s="24">
        <f>COUNTIF('Log de Ejecución'!$O$2:$O$41,A5)</f>
        <v>0</v>
      </c>
      <c r="E5" s="25">
        <f>IF($D$8=0,0,D5/$D$8)</f>
        <v>0</v>
      </c>
    </row>
    <row r="6" spans="1:5" x14ac:dyDescent="0.3">
      <c r="A6" s="24" t="s">
        <v>487</v>
      </c>
      <c r="B6" s="24">
        <f>COUNTIF('Log de Ejecución'!$J$2:$J$41,A6)</f>
        <v>0</v>
      </c>
      <c r="C6" s="25">
        <f>IF($B$8=0,0,B6/$B$8)</f>
        <v>0</v>
      </c>
      <c r="D6" s="24">
        <f>COUNTIF('Log de Ejecución'!$O$2:$O$41,A6)</f>
        <v>0</v>
      </c>
      <c r="E6" s="25">
        <f>IF($D$8=0,0,D6/$D$8)</f>
        <v>0</v>
      </c>
    </row>
    <row r="7" spans="1:5" x14ac:dyDescent="0.3">
      <c r="A7" s="24" t="s">
        <v>376</v>
      </c>
      <c r="B7" s="24">
        <f>COUNTIF('Log de Ejecución'!$J$2:$J$41,A7)</f>
        <v>3</v>
      </c>
      <c r="C7" s="25">
        <f>IF($B$8=0,0,B7/$B$8)</f>
        <v>7.4999999999999997E-2</v>
      </c>
      <c r="D7" s="24">
        <f>COUNTIF('Log de Ejecución'!$O$2:$O$41,A7)</f>
        <v>3</v>
      </c>
      <c r="E7" s="25">
        <f>IF($D$8=0,0,D7/$D$8)</f>
        <v>7.4999999999999997E-2</v>
      </c>
    </row>
    <row r="8" spans="1:5" x14ac:dyDescent="0.3">
      <c r="A8" s="26" t="s">
        <v>488</v>
      </c>
      <c r="B8" s="26">
        <f>COUNTA('Log de Ejecución'!$A$2:$A$41)</f>
        <v>40</v>
      </c>
      <c r="C8" s="27">
        <f>SUM(C4:C7)</f>
        <v>1</v>
      </c>
      <c r="D8" s="26">
        <f>COUNTA('Log de Ejecución'!$A$2:$A$41)</f>
        <v>40</v>
      </c>
      <c r="E8" s="27">
        <f>SUM(E4:E7)</f>
        <v>1</v>
      </c>
    </row>
    <row r="9" spans="1:5" x14ac:dyDescent="0.3">
      <c r="A9" s="24"/>
      <c r="B9" s="24"/>
      <c r="D9" s="24"/>
    </row>
    <row r="10" spans="1:5" x14ac:dyDescent="0.3">
      <c r="A10" s="24" t="s">
        <v>489</v>
      </c>
      <c r="B10" s="24">
        <f>COUNTIF('Log de Ejecución'!$N$2:$N$41,"N/A – fuera de alcance")</f>
        <v>3</v>
      </c>
      <c r="D10" s="24">
        <f>COUNTIF('Log de Ejecución'!$N$2:$N$41,"N/A – fuera de alcance")</f>
        <v>3</v>
      </c>
    </row>
    <row r="11" spans="1:5" x14ac:dyDescent="0.3">
      <c r="A11" s="24" t="s">
        <v>490</v>
      </c>
      <c r="B11" s="24">
        <f>B8-B10</f>
        <v>37</v>
      </c>
      <c r="D11" s="24">
        <f>D8-D10</f>
        <v>37</v>
      </c>
    </row>
    <row r="12" spans="1:5" x14ac:dyDescent="0.3">
      <c r="A12" s="24" t="s">
        <v>491</v>
      </c>
      <c r="B12" s="24">
        <f>B4+B5</f>
        <v>37</v>
      </c>
      <c r="D12" s="24">
        <f>D4+D5</f>
        <v>37</v>
      </c>
    </row>
    <row r="13" spans="1:5" x14ac:dyDescent="0.3">
      <c r="A13" s="26" t="s">
        <v>492</v>
      </c>
      <c r="B13" s="27">
        <f>IF(B11=0,0,B12/B11)</f>
        <v>1</v>
      </c>
      <c r="D13" s="27">
        <f>IF(D11=0,0,D12/D11)</f>
        <v>1</v>
      </c>
    </row>
    <row r="14" spans="1:5" x14ac:dyDescent="0.3">
      <c r="A14" s="26" t="s">
        <v>493</v>
      </c>
      <c r="B14" s="27">
        <f>IF(B12=0,0,B4/B12)</f>
        <v>0.83783783783783783</v>
      </c>
      <c r="D14" s="27">
        <f>IF(D12=0,0,D4/D12)</f>
        <v>1</v>
      </c>
    </row>
    <row r="15" spans="1:5" x14ac:dyDescent="0.3">
      <c r="A15" s="24" t="s">
        <v>494</v>
      </c>
      <c r="B15" s="25">
        <f>IF(B11=0,0,B4/B11)</f>
        <v>0.83783783783783783</v>
      </c>
      <c r="D15" s="25">
        <f>IF(D11=0,0,D4/D11)</f>
        <v>1</v>
      </c>
    </row>
    <row r="17" spans="1:5" x14ac:dyDescent="0.3">
      <c r="A17" s="18" t="s">
        <v>495</v>
      </c>
      <c r="B17" s="18" t="s">
        <v>496</v>
      </c>
      <c r="C17" s="18"/>
      <c r="D17" s="18" t="s">
        <v>497</v>
      </c>
    </row>
    <row r="18" spans="1:5" x14ac:dyDescent="0.3">
      <c r="A18" s="24" t="s">
        <v>498</v>
      </c>
      <c r="B18" s="24">
        <f>COUNTIF('Bug Tracker'!$F$2:$F$200,A18)</f>
        <v>0</v>
      </c>
      <c r="D18" s="24">
        <f>COUNTIFS('Bug Tracker'!$F$2:$F$200,A18,'Bug Tracker'!$H$2:$H$200,"&lt;&gt;Cerrado")</f>
        <v>0</v>
      </c>
    </row>
    <row r="19" spans="1:5" x14ac:dyDescent="0.3">
      <c r="A19" s="24" t="s">
        <v>344</v>
      </c>
      <c r="B19" s="24">
        <f>COUNTIF('Bug Tracker'!$F$2:$F$200,A19)</f>
        <v>2</v>
      </c>
      <c r="D19" s="24">
        <f>COUNTIFS('Bug Tracker'!$F$2:$F$200,A19,'Bug Tracker'!$H$2:$H$200,"&lt;&gt;Cerrado")</f>
        <v>0</v>
      </c>
    </row>
    <row r="20" spans="1:5" x14ac:dyDescent="0.3">
      <c r="A20" s="24" t="s">
        <v>471</v>
      </c>
      <c r="B20" s="24">
        <f>COUNTIF('Bug Tracker'!$F$2:$F$200,A20)</f>
        <v>3</v>
      </c>
      <c r="D20" s="24">
        <f>COUNTIFS('Bug Tracker'!$F$2:$F$200,A20,'Bug Tracker'!$H$2:$H$200,"&lt;&gt;Cerrado")</f>
        <v>0</v>
      </c>
    </row>
    <row r="21" spans="1:5" x14ac:dyDescent="0.3">
      <c r="A21" s="24" t="s">
        <v>499</v>
      </c>
      <c r="B21" s="24">
        <f>COUNTIF('Bug Tracker'!$F$2:$F$200,A21)</f>
        <v>1</v>
      </c>
      <c r="D21" s="24">
        <f>COUNTIFS('Bug Tracker'!$F$2:$F$200,A21,'Bug Tracker'!$H$2:$H$200,"&lt;&gt;Cerrado")</f>
        <v>0</v>
      </c>
    </row>
    <row r="22" spans="1:5" x14ac:dyDescent="0.3">
      <c r="A22" s="26" t="s">
        <v>500</v>
      </c>
      <c r="B22" s="26">
        <f>SUM(B18:B21)</f>
        <v>6</v>
      </c>
      <c r="D22" s="26">
        <f>SUM(D18:D21)</f>
        <v>0</v>
      </c>
    </row>
    <row r="23" spans="1:5" x14ac:dyDescent="0.3">
      <c r="A23" s="26" t="s">
        <v>501</v>
      </c>
      <c r="B23" s="28">
        <f>IF(B12=0,0,B22/B12)</f>
        <v>0.16216216216216217</v>
      </c>
      <c r="D23" s="26"/>
    </row>
    <row r="25" spans="1:5" ht="60" customHeight="1" x14ac:dyDescent="0.3">
      <c r="A25" s="34" t="s">
        <v>502</v>
      </c>
      <c r="B25" s="35"/>
      <c r="C25" s="35"/>
      <c r="D25" s="35"/>
      <c r="E25" s="35"/>
    </row>
  </sheetData>
  <mergeCells count="1">
    <mergeCell ref="A25:E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4.4" x14ac:dyDescent="0.3"/>
  <cols>
    <col min="1" max="1" width="40" customWidth="1"/>
    <col min="2" max="2" width="46" customWidth="1"/>
    <col min="3" max="4" width="16" customWidth="1"/>
    <col min="5" max="5" width="24" customWidth="1"/>
    <col min="6" max="6" width="60" customWidth="1"/>
  </cols>
  <sheetData>
    <row r="1" spans="1:6" ht="18" customHeight="1" x14ac:dyDescent="0.35">
      <c r="A1" s="7" t="s">
        <v>0</v>
      </c>
    </row>
    <row r="3" spans="1:6" ht="28.8" customHeight="1" x14ac:dyDescent="0.3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</row>
    <row r="4" spans="1:6" ht="28.8" customHeight="1" x14ac:dyDescent="0.3">
      <c r="A4" s="19" t="s">
        <v>7</v>
      </c>
      <c r="B4" s="20" t="s">
        <v>8</v>
      </c>
      <c r="C4" s="21">
        <f>((COUNTIFS('Log de Ejecución'!$B$2:$B$41,"REQ001*",'Log de Ejecución'!$O$2:$O$41,"Pass")+COUNTIFS('Log de Ejecución'!$B$2:$B$41,"REQ001*",'Log de Ejecución'!$O$2:$O$41,"Fail")&gt;0)+(COUNTIFS('Log de Ejecución'!$B$2:$B$41,"REQ002*",'Log de Ejecución'!$O$2:$O$41,"Pass")+COUNTIFS('Log de Ejecución'!$B$2:$B$41,"REQ002*",'Log de Ejecución'!$O$2:$O$41,"Fail")&gt;0)+(COUNTIFS('Log de Ejecución'!$B$2:$B$41,"REQ003*",'Log de Ejecución'!$O$2:$O$41,"Pass")+COUNTIFS('Log de Ejecución'!$B$2:$B$41,"REQ003*",'Log de Ejecución'!$O$2:$O$41,"Fail")&gt;0)+(COUNTIFS('Log de Ejecución'!$B$2:$B$41,"REQ004*",'Log de Ejecución'!$O$2:$O$41,"Pass")+COUNTIFS('Log de Ejecución'!$B$2:$B$41,"REQ004*",'Log de Ejecución'!$O$2:$O$41,"Fail")&gt;0)+(COUNTIFS('Log de Ejecución'!$B$2:$B$41,"REQ005*",'Log de Ejecución'!$O$2:$O$41,"Pass")+COUNTIFS('Log de Ejecución'!$B$2:$B$41,"REQ005*",'Log de Ejecución'!$O$2:$O$41,"Fail")&gt;0))/5</f>
        <v>1</v>
      </c>
      <c r="D4" s="22" t="str">
        <f>IF(C4&gt;=0.9,"Cumplido","No Cumplido")</f>
        <v>Cumplido</v>
      </c>
      <c r="E4" s="20" t="s">
        <v>9</v>
      </c>
      <c r="F4" s="20" t="s">
        <v>10</v>
      </c>
    </row>
    <row r="5" spans="1:6" ht="28.8" customHeight="1" x14ac:dyDescent="0.3">
      <c r="A5" s="19" t="s">
        <v>11</v>
      </c>
      <c r="B5" s="20" t="s">
        <v>12</v>
      </c>
      <c r="C5" s="21">
        <f>IF((COUNTIFS('Log de Ejecución'!$B$2:$B$41,"REQ001-A",'Log de Ejecución'!$N$2:$N$41,"&lt;&gt;N/A – fuera de alcance")+COUNTIFS('Log de Ejecución'!$B$2:$B$41,"REQ002-A",'Log de Ejecución'!$N$2:$N$41,"&lt;&gt;N/A – fuera de alcance")+COUNTIFS('Log de Ejecución'!$B$2:$B$41,"REQ002-B",'Log de Ejecución'!$N$2:$N$41,"&lt;&gt;N/A – fuera de alcance")+COUNTIFS('Log de Ejecución'!$B$2:$B$41,"REQ003-A",'Log de Ejecución'!$N$2:$N$41,"&lt;&gt;N/A – fuera de alcance")+COUNTIFS('Log de Ejecución'!$B$2:$B$41,"REQ003-B",'Log de Ejecución'!$N$2:$N$41,"&lt;&gt;N/A – fuera de alcance"))=0,0,(COUNTIFS('Log de Ejecución'!$B$2:$B$41,"REQ001-A",'Log de Ejecución'!$O$2:$O$41,"Pass")+COUNTIFS('Log de Ejecución'!$B$2:$B$41,"REQ001-A",'Log de Ejecución'!$O$2:$O$41,"Fail")+COUNTIFS('Log de Ejecución'!$B$2:$B$41,"REQ002-A",'Log de Ejecución'!$O$2:$O$41,"Pass")+COUNTIFS('Log de Ejecución'!$B$2:$B$41,"REQ002-A",'Log de Ejecución'!$O$2:$O$41,"Fail")+COUNTIFS('Log de Ejecución'!$B$2:$B$41,"REQ002-B",'Log de Ejecución'!$O$2:$O$41,"Pass")+COUNTIFS('Log de Ejecución'!$B$2:$B$41,"REQ002-B",'Log de Ejecución'!$O$2:$O$41,"Fail")+COUNTIFS('Log de Ejecución'!$B$2:$B$41,"REQ003-A",'Log de Ejecución'!$O$2:$O$41,"Pass")+COUNTIFS('Log de Ejecución'!$B$2:$B$41,"REQ003-A",'Log de Ejecución'!$O$2:$O$41,"Fail")+COUNTIFS('Log de Ejecución'!$B$2:$B$41,"REQ003-B",'Log de Ejecución'!$O$2:$O$41,"Pass")+COUNTIFS('Log de Ejecución'!$B$2:$B$41,"REQ003-B",'Log de Ejecución'!$O$2:$O$41,"Fail"))/(COUNTIFS('Log de Ejecución'!$B$2:$B$41,"REQ001-A",'Log de Ejecución'!$N$2:$N$41,"&lt;&gt;N/A – fuera de alcance")+COUNTIFS('Log de Ejecución'!$B$2:$B$41,"REQ002-A",'Log de Ejecución'!$N$2:$N$41,"&lt;&gt;N/A – fuera de alcance")+COUNTIFS('Log de Ejecución'!$B$2:$B$41,"REQ002-B",'Log de Ejecución'!$N$2:$N$41,"&lt;&gt;N/A – fuera de alcance")+COUNTIFS('Log de Ejecución'!$B$2:$B$41,"REQ003-A",'Log de Ejecución'!$N$2:$N$41,"&lt;&gt;N/A – fuera de alcance")+COUNTIFS('Log de Ejecución'!$B$2:$B$41,"REQ003-B",'Log de Ejecución'!$N$2:$N$41,"&lt;&gt;N/A – fuera de alcance")))</f>
        <v>1</v>
      </c>
      <c r="D5" s="22" t="str">
        <f>IF(C5&gt;=1,"Cumplido","No Cumplido")</f>
        <v>Cumplido</v>
      </c>
      <c r="E5" s="20" t="s">
        <v>13</v>
      </c>
      <c r="F5" s="20" t="s">
        <v>14</v>
      </c>
    </row>
    <row r="6" spans="1:6" ht="28.8" customHeight="1" x14ac:dyDescent="0.3">
      <c r="A6" s="19" t="s">
        <v>15</v>
      </c>
      <c r="B6" s="20" t="s">
        <v>16</v>
      </c>
      <c r="C6" s="21">
        <f>'Resumen de Ejecución'!D13</f>
        <v>1</v>
      </c>
      <c r="D6" s="22" t="str">
        <f>IF(C6&gt;=1,"Cumplido","No Cumplido")</f>
        <v>Cumplido</v>
      </c>
      <c r="E6" s="20" t="s">
        <v>17</v>
      </c>
      <c r="F6" s="20" t="s">
        <v>18</v>
      </c>
    </row>
    <row r="7" spans="1:6" x14ac:dyDescent="0.3">
      <c r="A7" s="19" t="s">
        <v>19</v>
      </c>
      <c r="B7" s="20" t="s">
        <v>20</v>
      </c>
      <c r="C7" s="23">
        <f>'Resumen de Ejecución'!D18</f>
        <v>0</v>
      </c>
      <c r="D7" s="22" t="str">
        <f>IF(C7=0,"Cumplido","No Cumplido")</f>
        <v>Cumplido</v>
      </c>
      <c r="E7" s="20" t="s">
        <v>9</v>
      </c>
      <c r="F7" s="20" t="s">
        <v>21</v>
      </c>
    </row>
    <row r="8" spans="1:6" ht="28.8" customHeight="1" x14ac:dyDescent="0.3">
      <c r="A8" s="19" t="s">
        <v>22</v>
      </c>
      <c r="B8" s="20" t="s">
        <v>23</v>
      </c>
      <c r="C8" s="23">
        <f>'Resumen de Ejecución'!D19</f>
        <v>0</v>
      </c>
      <c r="D8" s="22" t="str">
        <f>IF(C8&lt;=2,"Cumplido","No Cumplido")</f>
        <v>Cumplido</v>
      </c>
      <c r="E8" s="20" t="s">
        <v>13</v>
      </c>
      <c r="F8" s="20" t="s">
        <v>24</v>
      </c>
    </row>
    <row r="9" spans="1:6" ht="28.8" customHeight="1" x14ac:dyDescent="0.3">
      <c r="A9" s="19" t="s">
        <v>25</v>
      </c>
      <c r="B9" s="20" t="s">
        <v>26</v>
      </c>
      <c r="C9" s="21">
        <f>'Resumen de Ejecución'!D14</f>
        <v>1</v>
      </c>
      <c r="D9" s="22" t="str">
        <f>IF(C9&gt;=0.9,"Cumplido","No Cumplido")</f>
        <v>Cumplido</v>
      </c>
      <c r="E9" s="20" t="s">
        <v>17</v>
      </c>
      <c r="F9" s="20" t="s">
        <v>27</v>
      </c>
    </row>
    <row r="11" spans="1:6" x14ac:dyDescent="0.3">
      <c r="A11" s="8" t="s">
        <v>28</v>
      </c>
    </row>
  </sheetData>
  <conditionalFormatting sqref="D4:D20">
    <cfRule type="expression" dxfId="6" priority="1">
      <formula>D4="Cumplido"</formula>
    </cfRule>
    <cfRule type="expression" dxfId="5" priority="2">
      <formula>D4="No Cumplido"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"/>
  <sheetViews>
    <sheetView workbookViewId="0">
      <pane xSplit="2" ySplit="1" topLeftCell="L2" activePane="bottomRight" state="frozen"/>
      <selection pane="topRight"/>
      <selection pane="bottomLeft"/>
      <selection pane="bottomRight" activeCell="N4" sqref="N4"/>
    </sheetView>
  </sheetViews>
  <sheetFormatPr defaultRowHeight="14.4" x14ac:dyDescent="0.3"/>
  <cols>
    <col min="1" max="1" width="13" customWidth="1"/>
    <col min="2" max="2" width="15" customWidth="1"/>
    <col min="3" max="3" width="46" customWidth="1"/>
    <col min="4" max="4" width="20" customWidth="1"/>
    <col min="5" max="5" width="26" customWidth="1"/>
    <col min="6" max="8" width="11" customWidth="1"/>
    <col min="9" max="9" width="36" customWidth="1"/>
    <col min="10" max="10" width="60" customWidth="1"/>
    <col min="11" max="11" width="14" customWidth="1"/>
    <col min="12" max="12" width="70" customWidth="1"/>
    <col min="13" max="13" width="14" customWidth="1"/>
    <col min="14" max="14" width="38" customWidth="1"/>
  </cols>
  <sheetData>
    <row r="1" spans="1:14" ht="31.05" customHeight="1" x14ac:dyDescent="0.3">
      <c r="A1" s="9" t="s">
        <v>503</v>
      </c>
      <c r="B1" s="9" t="s">
        <v>33</v>
      </c>
      <c r="C1" s="9" t="s">
        <v>504</v>
      </c>
      <c r="D1" s="9" t="s">
        <v>337</v>
      </c>
      <c r="E1" s="9" t="s">
        <v>505</v>
      </c>
      <c r="F1" s="9" t="s">
        <v>506</v>
      </c>
      <c r="G1" s="9" t="s">
        <v>330</v>
      </c>
      <c r="H1" s="9" t="s">
        <v>482</v>
      </c>
      <c r="I1" s="9" t="s">
        <v>507</v>
      </c>
      <c r="J1" s="9" t="s">
        <v>508</v>
      </c>
      <c r="K1" s="9" t="s">
        <v>509</v>
      </c>
      <c r="L1" s="9" t="s">
        <v>510</v>
      </c>
      <c r="M1" s="9" t="s">
        <v>511</v>
      </c>
      <c r="N1" s="9" t="s">
        <v>512</v>
      </c>
    </row>
    <row r="2" spans="1:14" ht="72" customHeight="1" x14ac:dyDescent="0.3">
      <c r="A2" s="10" t="s">
        <v>364</v>
      </c>
      <c r="B2" s="10" t="s">
        <v>76</v>
      </c>
      <c r="C2" s="10" t="s">
        <v>513</v>
      </c>
      <c r="D2" s="10" t="s">
        <v>9</v>
      </c>
      <c r="E2" s="10" t="s">
        <v>514</v>
      </c>
      <c r="F2" s="11" t="s">
        <v>344</v>
      </c>
      <c r="G2" s="11" t="s">
        <v>344</v>
      </c>
      <c r="H2" s="11" t="s">
        <v>515</v>
      </c>
      <c r="I2" s="13" t="s">
        <v>516</v>
      </c>
      <c r="J2" s="10" t="s">
        <v>517</v>
      </c>
      <c r="K2" s="12">
        <v>46227</v>
      </c>
      <c r="L2" s="10" t="s">
        <v>518</v>
      </c>
      <c r="M2" s="12">
        <v>46315</v>
      </c>
      <c r="N2" s="13" t="s">
        <v>519</v>
      </c>
    </row>
    <row r="3" spans="1:14" ht="57.6" customHeight="1" x14ac:dyDescent="0.3">
      <c r="A3" s="10" t="s">
        <v>382</v>
      </c>
      <c r="B3" s="10" t="s">
        <v>111</v>
      </c>
      <c r="C3" s="10" t="s">
        <v>520</v>
      </c>
      <c r="D3" s="10" t="s">
        <v>9</v>
      </c>
      <c r="E3" s="10" t="s">
        <v>514</v>
      </c>
      <c r="F3" s="11" t="s">
        <v>471</v>
      </c>
      <c r="G3" s="11" t="s">
        <v>471</v>
      </c>
      <c r="H3" s="11" t="s">
        <v>515</v>
      </c>
      <c r="I3" s="13" t="s">
        <v>521</v>
      </c>
      <c r="J3" s="10" t="s">
        <v>522</v>
      </c>
      <c r="K3" s="12">
        <v>46244</v>
      </c>
      <c r="L3" s="10" t="s">
        <v>523</v>
      </c>
      <c r="M3" s="12">
        <v>46315</v>
      </c>
      <c r="N3" s="13" t="s">
        <v>524</v>
      </c>
    </row>
    <row r="4" spans="1:14" ht="72" customHeight="1" x14ac:dyDescent="0.3">
      <c r="A4" s="10" t="s">
        <v>407</v>
      </c>
      <c r="B4" s="10" t="s">
        <v>166</v>
      </c>
      <c r="C4" s="10" t="s">
        <v>525</v>
      </c>
      <c r="D4" s="10" t="s">
        <v>17</v>
      </c>
      <c r="E4" s="10" t="s">
        <v>514</v>
      </c>
      <c r="F4" s="11" t="s">
        <v>344</v>
      </c>
      <c r="G4" s="11" t="s">
        <v>344</v>
      </c>
      <c r="H4" s="11" t="s">
        <v>515</v>
      </c>
      <c r="I4" s="13" t="s">
        <v>526</v>
      </c>
      <c r="J4" s="10" t="s">
        <v>527</v>
      </c>
      <c r="K4" s="12">
        <v>46274</v>
      </c>
      <c r="L4" s="10" t="s">
        <v>528</v>
      </c>
      <c r="M4" s="12">
        <v>46315</v>
      </c>
      <c r="N4" s="13" t="s">
        <v>529</v>
      </c>
    </row>
    <row r="5" spans="1:14" ht="100.8" customHeight="1" x14ac:dyDescent="0.3">
      <c r="A5" s="10" t="s">
        <v>427</v>
      </c>
      <c r="B5" s="10" t="s">
        <v>209</v>
      </c>
      <c r="C5" s="10" t="s">
        <v>530</v>
      </c>
      <c r="D5" s="10" t="s">
        <v>17</v>
      </c>
      <c r="E5" s="10" t="s">
        <v>514</v>
      </c>
      <c r="F5" s="11" t="s">
        <v>471</v>
      </c>
      <c r="G5" s="11" t="s">
        <v>471</v>
      </c>
      <c r="H5" s="11" t="s">
        <v>515</v>
      </c>
      <c r="I5" s="13" t="s">
        <v>531</v>
      </c>
      <c r="J5" s="10" t="s">
        <v>532</v>
      </c>
      <c r="K5" s="12">
        <v>46290</v>
      </c>
      <c r="L5" s="10" t="s">
        <v>533</v>
      </c>
      <c r="M5" s="12">
        <v>46315</v>
      </c>
      <c r="N5" s="13" t="s">
        <v>534</v>
      </c>
    </row>
    <row r="6" spans="1:14" ht="57.6" customHeight="1" x14ac:dyDescent="0.3">
      <c r="A6" s="10" t="s">
        <v>461</v>
      </c>
      <c r="B6" s="10" t="s">
        <v>283</v>
      </c>
      <c r="C6" s="10" t="s">
        <v>535</v>
      </c>
      <c r="D6" s="10" t="s">
        <v>9</v>
      </c>
      <c r="E6" s="10" t="s">
        <v>536</v>
      </c>
      <c r="F6" s="11" t="s">
        <v>471</v>
      </c>
      <c r="G6" s="11" t="s">
        <v>471</v>
      </c>
      <c r="H6" s="11" t="s">
        <v>515</v>
      </c>
      <c r="I6" s="13" t="s">
        <v>537</v>
      </c>
      <c r="J6" s="10" t="s">
        <v>538</v>
      </c>
      <c r="K6" s="12">
        <v>46314</v>
      </c>
      <c r="L6" s="10" t="s">
        <v>539</v>
      </c>
      <c r="M6" s="12">
        <v>46315</v>
      </c>
      <c r="N6" s="13" t="s">
        <v>540</v>
      </c>
    </row>
    <row r="7" spans="1:14" ht="72" customHeight="1" x14ac:dyDescent="0.3">
      <c r="A7" s="10" t="s">
        <v>466</v>
      </c>
      <c r="B7" s="10" t="s">
        <v>291</v>
      </c>
      <c r="C7" s="10" t="s">
        <v>541</v>
      </c>
      <c r="D7" s="10" t="s">
        <v>13</v>
      </c>
      <c r="E7" s="10" t="s">
        <v>514</v>
      </c>
      <c r="F7" s="11" t="s">
        <v>499</v>
      </c>
      <c r="G7" s="11" t="s">
        <v>471</v>
      </c>
      <c r="H7" s="11" t="s">
        <v>515</v>
      </c>
      <c r="I7" s="13" t="s">
        <v>542</v>
      </c>
      <c r="J7" s="10" t="s">
        <v>543</v>
      </c>
      <c r="K7" s="12">
        <v>46315</v>
      </c>
      <c r="L7" s="10" t="s">
        <v>544</v>
      </c>
      <c r="M7" s="12">
        <v>46315</v>
      </c>
      <c r="N7" s="13" t="s">
        <v>545</v>
      </c>
    </row>
  </sheetData>
  <conditionalFormatting sqref="F2:G200">
    <cfRule type="expression" dxfId="4" priority="1">
      <formula>F2="Crítica"</formula>
    </cfRule>
    <cfRule type="expression" dxfId="3" priority="2">
      <formula>F2="Alta"</formula>
    </cfRule>
    <cfRule type="expression" dxfId="2" priority="3">
      <formula>F2="Media"</formula>
    </cfRule>
    <cfRule type="expression" dxfId="1" priority="4">
      <formula>F2="Baja"</formula>
    </cfRule>
  </conditionalFormatting>
  <conditionalFormatting sqref="H2:H200">
    <cfRule type="expression" dxfId="0" priority="9">
      <formula>H2="Cerrado"</formula>
    </cfRule>
  </conditionalFormatting>
  <dataValidations count="3">
    <dataValidation type="list" allowBlank="1" sqref="F2:F200" xr:uid="{00000000-0002-0000-0400-000000000000}">
      <formula1>"Crítica,Alta,Media,Baja"</formula1>
    </dataValidation>
    <dataValidation type="list" allowBlank="1" sqref="G2:G200" xr:uid="{00000000-0002-0000-0400-000001000000}">
      <formula1>"Alta,Media,Baja"</formula1>
    </dataValidation>
    <dataValidation type="list" allowBlank="1" sqref="H2:H200" xr:uid="{00000000-0002-0000-0400-000002000000}">
      <formula1>"Abierto,En progreso,Corregido,Verificado,Cerrado,Rechazado"</formula1>
    </dataValidation>
  </dataValidations>
  <hyperlinks>
    <hyperlink ref="I2" r:id="rId1" xr:uid="{00000000-0004-0000-0400-000000000000}"/>
    <hyperlink ref="N2" r:id="rId2" xr:uid="{00000000-0004-0000-0400-000001000000}"/>
    <hyperlink ref="I3" r:id="rId3" xr:uid="{00000000-0004-0000-0400-000002000000}"/>
    <hyperlink ref="N3" r:id="rId4" xr:uid="{00000000-0004-0000-0400-000003000000}"/>
    <hyperlink ref="I4" r:id="rId5" xr:uid="{00000000-0004-0000-0400-000004000000}"/>
    <hyperlink ref="N4" r:id="rId6" xr:uid="{00000000-0004-0000-0400-000005000000}"/>
    <hyperlink ref="I5" r:id="rId7" xr:uid="{00000000-0004-0000-0400-000006000000}"/>
    <hyperlink ref="N5" r:id="rId8" xr:uid="{00000000-0004-0000-0400-000007000000}"/>
    <hyperlink ref="I6" r:id="rId9" xr:uid="{00000000-0004-0000-0400-000008000000}"/>
    <hyperlink ref="N6" r:id="rId10" xr:uid="{00000000-0004-0000-0400-000009000000}"/>
    <hyperlink ref="I7" r:id="rId11" xr:uid="{00000000-0004-0000-0400-00000A000000}"/>
    <hyperlink ref="N7" r:id="rId12" xr:uid="{00000000-0004-0000-0400-00000B000000}"/>
  </hyperlinks>
  <pageMargins left="0.75" right="0.75" top="1" bottom="1" header="0.5" footer="0.5"/>
  <tableParts count="1"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1"/>
  <sheetViews>
    <sheetView workbookViewId="0"/>
  </sheetViews>
  <sheetFormatPr defaultRowHeight="14.4" x14ac:dyDescent="0.3"/>
  <cols>
    <col min="1" max="1" width="32" customWidth="1"/>
    <col min="2" max="2" width="120" customWidth="1"/>
  </cols>
  <sheetData>
    <row r="1" spans="1:2" ht="18" customHeight="1" x14ac:dyDescent="0.35">
      <c r="A1" s="7" t="s">
        <v>546</v>
      </c>
    </row>
    <row r="3" spans="1:2" ht="22.05" customHeight="1" x14ac:dyDescent="0.3">
      <c r="A3" s="36" t="s">
        <v>547</v>
      </c>
      <c r="B3" s="35"/>
    </row>
    <row r="4" spans="1:2" ht="15" customHeight="1" x14ac:dyDescent="0.3">
      <c r="A4" s="29" t="s">
        <v>548</v>
      </c>
      <c r="B4" s="30" t="s">
        <v>364</v>
      </c>
    </row>
    <row r="5" spans="1:2" ht="15" customHeight="1" x14ac:dyDescent="0.3">
      <c r="A5" s="29" t="s">
        <v>549</v>
      </c>
      <c r="B5" s="30" t="s">
        <v>513</v>
      </c>
    </row>
    <row r="6" spans="1:2" ht="15" customHeight="1" x14ac:dyDescent="0.3">
      <c r="A6" s="29" t="s">
        <v>550</v>
      </c>
      <c r="B6" s="30" t="s">
        <v>76</v>
      </c>
    </row>
    <row r="7" spans="1:2" ht="15" customHeight="1" x14ac:dyDescent="0.3">
      <c r="A7" s="29" t="s">
        <v>551</v>
      </c>
      <c r="B7" s="30" t="s">
        <v>9</v>
      </c>
    </row>
    <row r="8" spans="1:2" ht="15" customHeight="1" x14ac:dyDescent="0.3">
      <c r="A8" s="29" t="s">
        <v>509</v>
      </c>
      <c r="B8" s="31">
        <v>46227</v>
      </c>
    </row>
    <row r="9" spans="1:2" ht="15" customHeight="1" x14ac:dyDescent="0.3">
      <c r="A9" s="29" t="s">
        <v>505</v>
      </c>
      <c r="B9" s="30" t="s">
        <v>514</v>
      </c>
    </row>
    <row r="10" spans="1:2" ht="15" customHeight="1" x14ac:dyDescent="0.3">
      <c r="A10" s="29" t="s">
        <v>552</v>
      </c>
      <c r="B10" s="30" t="s">
        <v>553</v>
      </c>
    </row>
    <row r="11" spans="1:2" ht="30" customHeight="1" x14ac:dyDescent="0.3">
      <c r="A11" s="29" t="s">
        <v>554</v>
      </c>
      <c r="B11" s="30" t="s">
        <v>555</v>
      </c>
    </row>
    <row r="12" spans="1:2" ht="15" customHeight="1" x14ac:dyDescent="0.3">
      <c r="A12" s="29" t="s">
        <v>331</v>
      </c>
      <c r="B12" s="30" t="s">
        <v>556</v>
      </c>
    </row>
    <row r="13" spans="1:2" ht="90" customHeight="1" x14ac:dyDescent="0.3">
      <c r="A13" s="29" t="s">
        <v>557</v>
      </c>
      <c r="B13" s="30" t="s">
        <v>517</v>
      </c>
    </row>
    <row r="14" spans="1:2" ht="15" customHeight="1" x14ac:dyDescent="0.3">
      <c r="A14" s="29" t="s">
        <v>334</v>
      </c>
      <c r="B14" s="30" t="s">
        <v>558</v>
      </c>
    </row>
    <row r="15" spans="1:2" ht="15" customHeight="1" x14ac:dyDescent="0.3">
      <c r="A15" s="29" t="s">
        <v>559</v>
      </c>
      <c r="B15" s="30" t="s">
        <v>560</v>
      </c>
    </row>
    <row r="16" spans="1:2" ht="30" customHeight="1" x14ac:dyDescent="0.3">
      <c r="A16" s="29" t="s">
        <v>561</v>
      </c>
      <c r="B16" s="30" t="s">
        <v>562</v>
      </c>
    </row>
    <row r="17" spans="1:2" ht="30" customHeight="1" x14ac:dyDescent="0.3">
      <c r="A17" s="29" t="s">
        <v>563</v>
      </c>
      <c r="B17" s="32" t="s">
        <v>564</v>
      </c>
    </row>
    <row r="18" spans="1:2" ht="45" customHeight="1" x14ac:dyDescent="0.3">
      <c r="A18" s="33" t="s">
        <v>510</v>
      </c>
      <c r="B18" s="30" t="s">
        <v>518</v>
      </c>
    </row>
    <row r="19" spans="1:2" ht="45" customHeight="1" x14ac:dyDescent="0.3">
      <c r="A19" s="33" t="s">
        <v>565</v>
      </c>
      <c r="B19" s="30" t="s">
        <v>566</v>
      </c>
    </row>
    <row r="20" spans="1:2" ht="15" customHeight="1" x14ac:dyDescent="0.3">
      <c r="A20" s="33" t="s">
        <v>567</v>
      </c>
      <c r="B20" s="32" t="s">
        <v>568</v>
      </c>
    </row>
    <row r="21" spans="1:2" ht="15" customHeight="1" x14ac:dyDescent="0.3">
      <c r="A21" s="33" t="s">
        <v>482</v>
      </c>
      <c r="B21" s="30" t="s">
        <v>569</v>
      </c>
    </row>
    <row r="23" spans="1:2" ht="22.05" customHeight="1" x14ac:dyDescent="0.3">
      <c r="A23" s="36" t="s">
        <v>570</v>
      </c>
      <c r="B23" s="35"/>
    </row>
    <row r="24" spans="1:2" ht="15" customHeight="1" x14ac:dyDescent="0.3">
      <c r="A24" s="29" t="s">
        <v>548</v>
      </c>
      <c r="B24" s="30" t="s">
        <v>382</v>
      </c>
    </row>
    <row r="25" spans="1:2" ht="15" customHeight="1" x14ac:dyDescent="0.3">
      <c r="A25" s="29" t="s">
        <v>549</v>
      </c>
      <c r="B25" s="30" t="s">
        <v>520</v>
      </c>
    </row>
    <row r="26" spans="1:2" ht="15" customHeight="1" x14ac:dyDescent="0.3">
      <c r="A26" s="29" t="s">
        <v>550</v>
      </c>
      <c r="B26" s="30" t="s">
        <v>111</v>
      </c>
    </row>
    <row r="27" spans="1:2" ht="15" customHeight="1" x14ac:dyDescent="0.3">
      <c r="A27" s="29" t="s">
        <v>551</v>
      </c>
      <c r="B27" s="30" t="s">
        <v>9</v>
      </c>
    </row>
    <row r="28" spans="1:2" ht="15" customHeight="1" x14ac:dyDescent="0.3">
      <c r="A28" s="29" t="s">
        <v>509</v>
      </c>
      <c r="B28" s="31">
        <v>46244</v>
      </c>
    </row>
    <row r="29" spans="1:2" ht="15" customHeight="1" x14ac:dyDescent="0.3">
      <c r="A29" s="29" t="s">
        <v>505</v>
      </c>
      <c r="B29" s="30" t="s">
        <v>514</v>
      </c>
    </row>
    <row r="30" spans="1:2" ht="15" customHeight="1" x14ac:dyDescent="0.3">
      <c r="A30" s="29" t="s">
        <v>552</v>
      </c>
      <c r="B30" s="30" t="s">
        <v>571</v>
      </c>
    </row>
    <row r="31" spans="1:2" ht="30" customHeight="1" x14ac:dyDescent="0.3">
      <c r="A31" s="29" t="s">
        <v>554</v>
      </c>
      <c r="B31" s="30" t="s">
        <v>555</v>
      </c>
    </row>
    <row r="32" spans="1:2" ht="15" customHeight="1" x14ac:dyDescent="0.3">
      <c r="A32" s="29" t="s">
        <v>331</v>
      </c>
      <c r="B32" s="30" t="s">
        <v>572</v>
      </c>
    </row>
    <row r="33" spans="1:2" ht="60" customHeight="1" x14ac:dyDescent="0.3">
      <c r="A33" s="29" t="s">
        <v>557</v>
      </c>
      <c r="B33" s="30" t="s">
        <v>522</v>
      </c>
    </row>
    <row r="34" spans="1:2" ht="15" customHeight="1" x14ac:dyDescent="0.3">
      <c r="A34" s="29" t="s">
        <v>334</v>
      </c>
      <c r="B34" s="30" t="s">
        <v>573</v>
      </c>
    </row>
    <row r="35" spans="1:2" ht="15" customHeight="1" x14ac:dyDescent="0.3">
      <c r="A35" s="29" t="s">
        <v>559</v>
      </c>
      <c r="B35" s="30" t="s">
        <v>574</v>
      </c>
    </row>
    <row r="36" spans="1:2" ht="30" customHeight="1" x14ac:dyDescent="0.3">
      <c r="A36" s="29" t="s">
        <v>561</v>
      </c>
      <c r="B36" s="30" t="s">
        <v>575</v>
      </c>
    </row>
    <row r="37" spans="1:2" ht="30" customHeight="1" x14ac:dyDescent="0.3">
      <c r="A37" s="29" t="s">
        <v>563</v>
      </c>
      <c r="B37" s="32" t="s">
        <v>576</v>
      </c>
    </row>
    <row r="38" spans="1:2" ht="30" customHeight="1" x14ac:dyDescent="0.3">
      <c r="A38" s="33" t="s">
        <v>510</v>
      </c>
      <c r="B38" s="30" t="s">
        <v>523</v>
      </c>
    </row>
    <row r="39" spans="1:2" ht="30" customHeight="1" x14ac:dyDescent="0.3">
      <c r="A39" s="33" t="s">
        <v>565</v>
      </c>
      <c r="B39" s="30" t="s">
        <v>577</v>
      </c>
    </row>
    <row r="40" spans="1:2" ht="15" customHeight="1" x14ac:dyDescent="0.3">
      <c r="A40" s="33" t="s">
        <v>567</v>
      </c>
      <c r="B40" s="32" t="s">
        <v>578</v>
      </c>
    </row>
    <row r="41" spans="1:2" ht="15" customHeight="1" x14ac:dyDescent="0.3">
      <c r="A41" s="33" t="s">
        <v>482</v>
      </c>
      <c r="B41" s="30" t="s">
        <v>569</v>
      </c>
    </row>
    <row r="43" spans="1:2" ht="22.05" customHeight="1" x14ac:dyDescent="0.3">
      <c r="A43" s="36" t="s">
        <v>579</v>
      </c>
      <c r="B43" s="35"/>
    </row>
    <row r="44" spans="1:2" ht="15" customHeight="1" x14ac:dyDescent="0.3">
      <c r="A44" s="29" t="s">
        <v>548</v>
      </c>
      <c r="B44" s="30" t="s">
        <v>407</v>
      </c>
    </row>
    <row r="45" spans="1:2" ht="15" customHeight="1" x14ac:dyDescent="0.3">
      <c r="A45" s="29" t="s">
        <v>549</v>
      </c>
      <c r="B45" s="30" t="s">
        <v>525</v>
      </c>
    </row>
    <row r="46" spans="1:2" ht="15" customHeight="1" x14ac:dyDescent="0.3">
      <c r="A46" s="29" t="s">
        <v>550</v>
      </c>
      <c r="B46" s="30" t="s">
        <v>166</v>
      </c>
    </row>
    <row r="47" spans="1:2" ht="15" customHeight="1" x14ac:dyDescent="0.3">
      <c r="A47" s="29" t="s">
        <v>551</v>
      </c>
      <c r="B47" s="30" t="s">
        <v>17</v>
      </c>
    </row>
    <row r="48" spans="1:2" ht="15" customHeight="1" x14ac:dyDescent="0.3">
      <c r="A48" s="29" t="s">
        <v>509</v>
      </c>
      <c r="B48" s="31">
        <v>46274</v>
      </c>
    </row>
    <row r="49" spans="1:2" ht="15" customHeight="1" x14ac:dyDescent="0.3">
      <c r="A49" s="29" t="s">
        <v>505</v>
      </c>
      <c r="B49" s="30" t="s">
        <v>514</v>
      </c>
    </row>
    <row r="50" spans="1:2" ht="15" customHeight="1" x14ac:dyDescent="0.3">
      <c r="A50" s="29" t="s">
        <v>552</v>
      </c>
      <c r="B50" s="30" t="s">
        <v>553</v>
      </c>
    </row>
    <row r="51" spans="1:2" ht="30" customHeight="1" x14ac:dyDescent="0.3">
      <c r="A51" s="29" t="s">
        <v>554</v>
      </c>
      <c r="B51" s="30" t="s">
        <v>555</v>
      </c>
    </row>
    <row r="52" spans="1:2" ht="15" customHeight="1" x14ac:dyDescent="0.3">
      <c r="A52" s="29" t="s">
        <v>331</v>
      </c>
      <c r="B52" s="30" t="s">
        <v>580</v>
      </c>
    </row>
    <row r="53" spans="1:2" ht="90" customHeight="1" x14ac:dyDescent="0.3">
      <c r="A53" s="29" t="s">
        <v>557</v>
      </c>
      <c r="B53" s="30" t="s">
        <v>527</v>
      </c>
    </row>
    <row r="54" spans="1:2" ht="15" customHeight="1" x14ac:dyDescent="0.3">
      <c r="A54" s="29" t="s">
        <v>334</v>
      </c>
      <c r="B54" s="30" t="s">
        <v>581</v>
      </c>
    </row>
    <row r="55" spans="1:2" ht="30" customHeight="1" x14ac:dyDescent="0.3">
      <c r="A55" s="29" t="s">
        <v>559</v>
      </c>
      <c r="B55" s="30" t="s">
        <v>582</v>
      </c>
    </row>
    <row r="56" spans="1:2" ht="30" customHeight="1" x14ac:dyDescent="0.3">
      <c r="A56" s="29" t="s">
        <v>561</v>
      </c>
      <c r="B56" s="30" t="s">
        <v>583</v>
      </c>
    </row>
    <row r="57" spans="1:2" ht="30" customHeight="1" x14ac:dyDescent="0.3">
      <c r="A57" s="29" t="s">
        <v>563</v>
      </c>
      <c r="B57" s="32" t="s">
        <v>584</v>
      </c>
    </row>
    <row r="58" spans="1:2" ht="45" customHeight="1" x14ac:dyDescent="0.3">
      <c r="A58" s="33" t="s">
        <v>510</v>
      </c>
      <c r="B58" s="30" t="s">
        <v>528</v>
      </c>
    </row>
    <row r="59" spans="1:2" ht="45" customHeight="1" x14ac:dyDescent="0.3">
      <c r="A59" s="33" t="s">
        <v>565</v>
      </c>
      <c r="B59" s="30" t="s">
        <v>585</v>
      </c>
    </row>
    <row r="60" spans="1:2" ht="15" customHeight="1" x14ac:dyDescent="0.3">
      <c r="A60" s="33" t="s">
        <v>567</v>
      </c>
      <c r="B60" s="32" t="s">
        <v>586</v>
      </c>
    </row>
    <row r="61" spans="1:2" ht="15" customHeight="1" x14ac:dyDescent="0.3">
      <c r="A61" s="33" t="s">
        <v>482</v>
      </c>
      <c r="B61" s="30" t="s">
        <v>569</v>
      </c>
    </row>
    <row r="63" spans="1:2" ht="22.05" customHeight="1" x14ac:dyDescent="0.3">
      <c r="A63" s="36" t="s">
        <v>587</v>
      </c>
      <c r="B63" s="35"/>
    </row>
    <row r="64" spans="1:2" ht="15" customHeight="1" x14ac:dyDescent="0.3">
      <c r="A64" s="29" t="s">
        <v>548</v>
      </c>
      <c r="B64" s="30" t="s">
        <v>427</v>
      </c>
    </row>
    <row r="65" spans="1:2" ht="15" customHeight="1" x14ac:dyDescent="0.3">
      <c r="A65" s="29" t="s">
        <v>549</v>
      </c>
      <c r="B65" s="30" t="s">
        <v>530</v>
      </c>
    </row>
    <row r="66" spans="1:2" ht="15" customHeight="1" x14ac:dyDescent="0.3">
      <c r="A66" s="29" t="s">
        <v>550</v>
      </c>
      <c r="B66" s="30" t="s">
        <v>209</v>
      </c>
    </row>
    <row r="67" spans="1:2" ht="15" customHeight="1" x14ac:dyDescent="0.3">
      <c r="A67" s="29" t="s">
        <v>551</v>
      </c>
      <c r="B67" s="30" t="s">
        <v>17</v>
      </c>
    </row>
    <row r="68" spans="1:2" ht="15" customHeight="1" x14ac:dyDescent="0.3">
      <c r="A68" s="29" t="s">
        <v>509</v>
      </c>
      <c r="B68" s="31">
        <v>46290</v>
      </c>
    </row>
    <row r="69" spans="1:2" ht="15" customHeight="1" x14ac:dyDescent="0.3">
      <c r="A69" s="29" t="s">
        <v>505</v>
      </c>
      <c r="B69" s="30" t="s">
        <v>514</v>
      </c>
    </row>
    <row r="70" spans="1:2" ht="15" customHeight="1" x14ac:dyDescent="0.3">
      <c r="A70" s="29" t="s">
        <v>552</v>
      </c>
      <c r="B70" s="30" t="s">
        <v>571</v>
      </c>
    </row>
    <row r="71" spans="1:2" ht="30" customHeight="1" x14ac:dyDescent="0.3">
      <c r="A71" s="29" t="s">
        <v>554</v>
      </c>
      <c r="B71" s="30" t="s">
        <v>555</v>
      </c>
    </row>
    <row r="72" spans="1:2" ht="30" customHeight="1" x14ac:dyDescent="0.3">
      <c r="A72" s="29" t="s">
        <v>331</v>
      </c>
      <c r="B72" s="30" t="s">
        <v>588</v>
      </c>
    </row>
    <row r="73" spans="1:2" ht="105" customHeight="1" x14ac:dyDescent="0.3">
      <c r="A73" s="29" t="s">
        <v>557</v>
      </c>
      <c r="B73" s="30" t="s">
        <v>532</v>
      </c>
    </row>
    <row r="74" spans="1:2" ht="15" customHeight="1" x14ac:dyDescent="0.3">
      <c r="A74" s="29" t="s">
        <v>334</v>
      </c>
      <c r="B74" s="30" t="s">
        <v>589</v>
      </c>
    </row>
    <row r="75" spans="1:2" ht="30" customHeight="1" x14ac:dyDescent="0.3">
      <c r="A75" s="29" t="s">
        <v>559</v>
      </c>
      <c r="B75" s="30" t="s">
        <v>590</v>
      </c>
    </row>
    <row r="76" spans="1:2" ht="15" customHeight="1" x14ac:dyDescent="0.3">
      <c r="A76" s="29" t="s">
        <v>561</v>
      </c>
      <c r="B76" s="30" t="s">
        <v>591</v>
      </c>
    </row>
    <row r="77" spans="1:2" ht="30" customHeight="1" x14ac:dyDescent="0.3">
      <c r="A77" s="29" t="s">
        <v>563</v>
      </c>
      <c r="B77" s="32" t="s">
        <v>592</v>
      </c>
    </row>
    <row r="78" spans="1:2" ht="45" customHeight="1" x14ac:dyDescent="0.3">
      <c r="A78" s="33" t="s">
        <v>510</v>
      </c>
      <c r="B78" s="30" t="s">
        <v>533</v>
      </c>
    </row>
    <row r="79" spans="1:2" ht="45" customHeight="1" x14ac:dyDescent="0.3">
      <c r="A79" s="33" t="s">
        <v>565</v>
      </c>
      <c r="B79" s="30" t="s">
        <v>593</v>
      </c>
    </row>
    <row r="80" spans="1:2" ht="15" customHeight="1" x14ac:dyDescent="0.3">
      <c r="A80" s="33" t="s">
        <v>567</v>
      </c>
      <c r="B80" s="32" t="s">
        <v>594</v>
      </c>
    </row>
    <row r="81" spans="1:2" ht="15" customHeight="1" x14ac:dyDescent="0.3">
      <c r="A81" s="33" t="s">
        <v>482</v>
      </c>
      <c r="B81" s="30" t="s">
        <v>569</v>
      </c>
    </row>
    <row r="83" spans="1:2" ht="22.05" customHeight="1" x14ac:dyDescent="0.3">
      <c r="A83" s="36" t="s">
        <v>595</v>
      </c>
      <c r="B83" s="35"/>
    </row>
    <row r="84" spans="1:2" ht="15" customHeight="1" x14ac:dyDescent="0.3">
      <c r="A84" s="29" t="s">
        <v>548</v>
      </c>
      <c r="B84" s="30" t="s">
        <v>461</v>
      </c>
    </row>
    <row r="85" spans="1:2" ht="15" customHeight="1" x14ac:dyDescent="0.3">
      <c r="A85" s="29" t="s">
        <v>549</v>
      </c>
      <c r="B85" s="30" t="s">
        <v>535</v>
      </c>
    </row>
    <row r="86" spans="1:2" ht="15" customHeight="1" x14ac:dyDescent="0.3">
      <c r="A86" s="29" t="s">
        <v>550</v>
      </c>
      <c r="B86" s="30" t="s">
        <v>283</v>
      </c>
    </row>
    <row r="87" spans="1:2" ht="15" customHeight="1" x14ac:dyDescent="0.3">
      <c r="A87" s="29" t="s">
        <v>551</v>
      </c>
      <c r="B87" s="30" t="s">
        <v>9</v>
      </c>
    </row>
    <row r="88" spans="1:2" ht="15" customHeight="1" x14ac:dyDescent="0.3">
      <c r="A88" s="29" t="s">
        <v>509</v>
      </c>
      <c r="B88" s="31">
        <v>46314</v>
      </c>
    </row>
    <row r="89" spans="1:2" ht="15" customHeight="1" x14ac:dyDescent="0.3">
      <c r="A89" s="29" t="s">
        <v>505</v>
      </c>
      <c r="B89" s="30" t="s">
        <v>536</v>
      </c>
    </row>
    <row r="90" spans="1:2" ht="15" customHeight="1" x14ac:dyDescent="0.3">
      <c r="A90" s="29" t="s">
        <v>552</v>
      </c>
      <c r="B90" s="30" t="s">
        <v>571</v>
      </c>
    </row>
    <row r="91" spans="1:2" ht="30" customHeight="1" x14ac:dyDescent="0.3">
      <c r="A91" s="29" t="s">
        <v>554</v>
      </c>
      <c r="B91" s="30" t="s">
        <v>555</v>
      </c>
    </row>
    <row r="92" spans="1:2" ht="15" customHeight="1" x14ac:dyDescent="0.3">
      <c r="A92" s="29" t="s">
        <v>331</v>
      </c>
      <c r="B92" s="30" t="s">
        <v>596</v>
      </c>
    </row>
    <row r="93" spans="1:2" ht="60" customHeight="1" x14ac:dyDescent="0.3">
      <c r="A93" s="29" t="s">
        <v>557</v>
      </c>
      <c r="B93" s="30" t="s">
        <v>538</v>
      </c>
    </row>
    <row r="94" spans="1:2" ht="15" customHeight="1" x14ac:dyDescent="0.3">
      <c r="A94" s="29" t="s">
        <v>334</v>
      </c>
      <c r="B94" s="30" t="s">
        <v>597</v>
      </c>
    </row>
    <row r="95" spans="1:2" ht="15" customHeight="1" x14ac:dyDescent="0.3">
      <c r="A95" s="29" t="s">
        <v>559</v>
      </c>
      <c r="B95" s="30" t="s">
        <v>598</v>
      </c>
    </row>
    <row r="96" spans="1:2" ht="15" customHeight="1" x14ac:dyDescent="0.3">
      <c r="A96" s="29" t="s">
        <v>561</v>
      </c>
      <c r="B96" s="30" t="s">
        <v>599</v>
      </c>
    </row>
    <row r="97" spans="1:2" ht="15" customHeight="1" x14ac:dyDescent="0.3">
      <c r="A97" s="29" t="s">
        <v>563</v>
      </c>
      <c r="B97" s="32" t="s">
        <v>600</v>
      </c>
    </row>
    <row r="98" spans="1:2" ht="45" customHeight="1" x14ac:dyDescent="0.3">
      <c r="A98" s="33" t="s">
        <v>510</v>
      </c>
      <c r="B98" s="30" t="s">
        <v>539</v>
      </c>
    </row>
    <row r="99" spans="1:2" ht="45" customHeight="1" x14ac:dyDescent="0.3">
      <c r="A99" s="33" t="s">
        <v>565</v>
      </c>
      <c r="B99" s="30" t="s">
        <v>601</v>
      </c>
    </row>
    <row r="100" spans="1:2" ht="15" customHeight="1" x14ac:dyDescent="0.3">
      <c r="A100" s="33" t="s">
        <v>567</v>
      </c>
      <c r="B100" s="32" t="s">
        <v>602</v>
      </c>
    </row>
    <row r="101" spans="1:2" ht="15" customHeight="1" x14ac:dyDescent="0.3">
      <c r="A101" s="33" t="s">
        <v>482</v>
      </c>
      <c r="B101" s="30" t="s">
        <v>569</v>
      </c>
    </row>
    <row r="103" spans="1:2" ht="22.05" customHeight="1" x14ac:dyDescent="0.3">
      <c r="A103" s="36" t="s">
        <v>603</v>
      </c>
      <c r="B103" s="35"/>
    </row>
    <row r="104" spans="1:2" ht="15" customHeight="1" x14ac:dyDescent="0.3">
      <c r="A104" s="29" t="s">
        <v>548</v>
      </c>
      <c r="B104" s="30" t="s">
        <v>466</v>
      </c>
    </row>
    <row r="105" spans="1:2" ht="15" customHeight="1" x14ac:dyDescent="0.3">
      <c r="A105" s="29" t="s">
        <v>549</v>
      </c>
      <c r="B105" s="30" t="s">
        <v>541</v>
      </c>
    </row>
    <row r="106" spans="1:2" ht="15" customHeight="1" x14ac:dyDescent="0.3">
      <c r="A106" s="29" t="s">
        <v>550</v>
      </c>
      <c r="B106" s="30" t="s">
        <v>291</v>
      </c>
    </row>
    <row r="107" spans="1:2" ht="15" customHeight="1" x14ac:dyDescent="0.3">
      <c r="A107" s="29" t="s">
        <v>551</v>
      </c>
      <c r="B107" s="30" t="s">
        <v>13</v>
      </c>
    </row>
    <row r="108" spans="1:2" ht="15" customHeight="1" x14ac:dyDescent="0.3">
      <c r="A108" s="29" t="s">
        <v>509</v>
      </c>
      <c r="B108" s="31">
        <v>46315</v>
      </c>
    </row>
    <row r="109" spans="1:2" ht="15" customHeight="1" x14ac:dyDescent="0.3">
      <c r="A109" s="29" t="s">
        <v>505</v>
      </c>
      <c r="B109" s="30" t="s">
        <v>514</v>
      </c>
    </row>
    <row r="110" spans="1:2" ht="15" customHeight="1" x14ac:dyDescent="0.3">
      <c r="A110" s="29" t="s">
        <v>552</v>
      </c>
      <c r="B110" s="30" t="s">
        <v>604</v>
      </c>
    </row>
    <row r="111" spans="1:2" ht="30" customHeight="1" x14ac:dyDescent="0.3">
      <c r="A111" s="29" t="s">
        <v>554</v>
      </c>
      <c r="B111" s="30" t="s">
        <v>555</v>
      </c>
    </row>
    <row r="112" spans="1:2" ht="15" customHeight="1" x14ac:dyDescent="0.3">
      <c r="A112" s="29" t="s">
        <v>331</v>
      </c>
      <c r="B112" s="30" t="s">
        <v>605</v>
      </c>
    </row>
    <row r="113" spans="1:2" ht="60" customHeight="1" x14ac:dyDescent="0.3">
      <c r="A113" s="29" t="s">
        <v>557</v>
      </c>
      <c r="B113" s="30" t="s">
        <v>543</v>
      </c>
    </row>
    <row r="114" spans="1:2" ht="30" customHeight="1" x14ac:dyDescent="0.3">
      <c r="A114" s="29" t="s">
        <v>334</v>
      </c>
      <c r="B114" s="30" t="s">
        <v>606</v>
      </c>
    </row>
    <row r="115" spans="1:2" ht="30" customHeight="1" x14ac:dyDescent="0.3">
      <c r="A115" s="29" t="s">
        <v>559</v>
      </c>
      <c r="B115" s="30" t="s">
        <v>607</v>
      </c>
    </row>
    <row r="116" spans="1:2" ht="15" customHeight="1" x14ac:dyDescent="0.3">
      <c r="A116" s="29" t="s">
        <v>561</v>
      </c>
      <c r="B116" s="30" t="s">
        <v>608</v>
      </c>
    </row>
    <row r="117" spans="1:2" ht="30" customHeight="1" x14ac:dyDescent="0.3">
      <c r="A117" s="29" t="s">
        <v>563</v>
      </c>
      <c r="B117" s="32" t="s">
        <v>609</v>
      </c>
    </row>
    <row r="118" spans="1:2" ht="30" customHeight="1" x14ac:dyDescent="0.3">
      <c r="A118" s="33" t="s">
        <v>510</v>
      </c>
      <c r="B118" s="30" t="s">
        <v>544</v>
      </c>
    </row>
    <row r="119" spans="1:2" ht="45" customHeight="1" x14ac:dyDescent="0.3">
      <c r="A119" s="33" t="s">
        <v>565</v>
      </c>
      <c r="B119" s="30" t="s">
        <v>610</v>
      </c>
    </row>
    <row r="120" spans="1:2" ht="15" customHeight="1" x14ac:dyDescent="0.3">
      <c r="A120" s="33" t="s">
        <v>567</v>
      </c>
      <c r="B120" s="32" t="s">
        <v>611</v>
      </c>
    </row>
    <row r="121" spans="1:2" ht="15" customHeight="1" x14ac:dyDescent="0.3">
      <c r="A121" s="33" t="s">
        <v>482</v>
      </c>
      <c r="B121" s="30" t="s">
        <v>569</v>
      </c>
    </row>
  </sheetData>
  <mergeCells count="6">
    <mergeCell ref="A43:B43"/>
    <mergeCell ref="A63:B63"/>
    <mergeCell ref="A103:B103"/>
    <mergeCell ref="A23:B23"/>
    <mergeCell ref="A3:B3"/>
    <mergeCell ref="A83:B83"/>
  </mergeCells>
  <hyperlinks>
    <hyperlink ref="B17" r:id="rId1" xr:uid="{00000000-0004-0000-0500-000000000000}"/>
    <hyperlink ref="B20" r:id="rId2" xr:uid="{00000000-0004-0000-0500-000001000000}"/>
    <hyperlink ref="B37" r:id="rId3" xr:uid="{00000000-0004-0000-0500-000002000000}"/>
    <hyperlink ref="B40" r:id="rId4" xr:uid="{00000000-0004-0000-0500-000003000000}"/>
    <hyperlink ref="B57" r:id="rId5" xr:uid="{00000000-0004-0000-0500-000004000000}"/>
    <hyperlink ref="B60" r:id="rId6" xr:uid="{00000000-0004-0000-0500-000005000000}"/>
    <hyperlink ref="B77" r:id="rId7" xr:uid="{00000000-0004-0000-0500-000006000000}"/>
    <hyperlink ref="B80" r:id="rId8" xr:uid="{00000000-0004-0000-0500-000007000000}"/>
    <hyperlink ref="B97" r:id="rId9" xr:uid="{00000000-0004-0000-0500-000008000000}"/>
    <hyperlink ref="B100" r:id="rId10" xr:uid="{00000000-0004-0000-0500-000009000000}"/>
    <hyperlink ref="B117" r:id="rId11" xr:uid="{00000000-0004-0000-0500-00000A000000}"/>
    <hyperlink ref="B120" r:id="rId12" xr:uid="{00000000-0004-0000-0500-00000B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3" width="12" customWidth="1"/>
    <col min="4" max="4" width="10" customWidth="1"/>
    <col min="5" max="5" width="70" customWidth="1"/>
    <col min="6" max="6" width="72" customWidth="1"/>
  </cols>
  <sheetData>
    <row r="1" spans="1:6" x14ac:dyDescent="0.3">
      <c r="A1" s="14" t="s">
        <v>503</v>
      </c>
      <c r="B1" s="14" t="s">
        <v>33</v>
      </c>
      <c r="C1" s="14" t="s">
        <v>612</v>
      </c>
      <c r="D1" s="14" t="s">
        <v>613</v>
      </c>
      <c r="E1" s="14" t="s">
        <v>614</v>
      </c>
      <c r="F1" s="14" t="s">
        <v>615</v>
      </c>
    </row>
    <row r="2" spans="1:6" x14ac:dyDescent="0.3">
      <c r="A2" s="10" t="s">
        <v>364</v>
      </c>
      <c r="B2" s="10" t="s">
        <v>76</v>
      </c>
      <c r="C2" s="10" t="s">
        <v>616</v>
      </c>
      <c r="D2" s="10" t="s">
        <v>617</v>
      </c>
      <c r="E2" s="13" t="s">
        <v>618</v>
      </c>
      <c r="F2" s="10" t="s">
        <v>619</v>
      </c>
    </row>
    <row r="3" spans="1:6" x14ac:dyDescent="0.3">
      <c r="A3" s="10" t="s">
        <v>364</v>
      </c>
      <c r="B3" s="10" t="s">
        <v>76</v>
      </c>
      <c r="C3" s="10" t="s">
        <v>616</v>
      </c>
      <c r="D3" s="10" t="s">
        <v>620</v>
      </c>
      <c r="E3" s="13" t="s">
        <v>621</v>
      </c>
      <c r="F3" s="10" t="s">
        <v>622</v>
      </c>
    </row>
    <row r="4" spans="1:6" ht="28.8" customHeight="1" x14ac:dyDescent="0.3">
      <c r="A4" s="10" t="s">
        <v>364</v>
      </c>
      <c r="B4" s="10" t="s">
        <v>76</v>
      </c>
      <c r="C4" s="10" t="s">
        <v>616</v>
      </c>
      <c r="D4" s="10" t="s">
        <v>623</v>
      </c>
      <c r="E4" s="13" t="s">
        <v>624</v>
      </c>
      <c r="F4" s="10" t="s">
        <v>625</v>
      </c>
    </row>
    <row r="5" spans="1:6" ht="28.8" customHeight="1" x14ac:dyDescent="0.3">
      <c r="A5" s="10" t="s">
        <v>364</v>
      </c>
      <c r="B5" s="10" t="s">
        <v>76</v>
      </c>
      <c r="C5" s="10" t="s">
        <v>626</v>
      </c>
      <c r="D5" s="10" t="s">
        <v>617</v>
      </c>
      <c r="E5" s="13" t="s">
        <v>627</v>
      </c>
      <c r="F5" s="10" t="s">
        <v>628</v>
      </c>
    </row>
    <row r="6" spans="1:6" ht="28.8" customHeight="1" x14ac:dyDescent="0.3">
      <c r="A6" s="10" t="s">
        <v>364</v>
      </c>
      <c r="B6" s="10" t="s">
        <v>76</v>
      </c>
      <c r="C6" s="10" t="s">
        <v>626</v>
      </c>
      <c r="D6" s="10" t="s">
        <v>620</v>
      </c>
      <c r="E6" s="13" t="s">
        <v>629</v>
      </c>
      <c r="F6" s="10" t="s">
        <v>630</v>
      </c>
    </row>
    <row r="7" spans="1:6" x14ac:dyDescent="0.3">
      <c r="A7" s="10" t="s">
        <v>364</v>
      </c>
      <c r="B7" s="10" t="s">
        <v>76</v>
      </c>
      <c r="C7" s="10" t="s">
        <v>626</v>
      </c>
      <c r="D7" s="10" t="s">
        <v>623</v>
      </c>
      <c r="E7" s="13" t="s">
        <v>631</v>
      </c>
      <c r="F7" s="10" t="s">
        <v>625</v>
      </c>
    </row>
    <row r="8" spans="1:6" x14ac:dyDescent="0.3">
      <c r="A8" s="10" t="s">
        <v>382</v>
      </c>
      <c r="B8" s="10" t="s">
        <v>111</v>
      </c>
      <c r="C8" s="10" t="s">
        <v>616</v>
      </c>
      <c r="D8" s="10" t="s">
        <v>617</v>
      </c>
      <c r="E8" s="13" t="s">
        <v>632</v>
      </c>
      <c r="F8" s="10" t="s">
        <v>633</v>
      </c>
    </row>
    <row r="9" spans="1:6" x14ac:dyDescent="0.3">
      <c r="A9" s="10" t="s">
        <v>382</v>
      </c>
      <c r="B9" s="10" t="s">
        <v>111</v>
      </c>
      <c r="C9" s="10" t="s">
        <v>616</v>
      </c>
      <c r="D9" s="10" t="s">
        <v>620</v>
      </c>
      <c r="E9" s="13" t="s">
        <v>634</v>
      </c>
      <c r="F9" s="10" t="s">
        <v>635</v>
      </c>
    </row>
    <row r="10" spans="1:6" ht="28.8" customHeight="1" x14ac:dyDescent="0.3">
      <c r="A10" s="10" t="s">
        <v>382</v>
      </c>
      <c r="B10" s="10" t="s">
        <v>111</v>
      </c>
      <c r="C10" s="10" t="s">
        <v>616</v>
      </c>
      <c r="D10" s="10" t="s">
        <v>623</v>
      </c>
      <c r="E10" s="13" t="s">
        <v>624</v>
      </c>
      <c r="F10" s="10" t="s">
        <v>625</v>
      </c>
    </row>
    <row r="11" spans="1:6" ht="28.8" customHeight="1" x14ac:dyDescent="0.3">
      <c r="A11" s="10" t="s">
        <v>382</v>
      </c>
      <c r="B11" s="10" t="s">
        <v>111</v>
      </c>
      <c r="C11" s="10" t="s">
        <v>626</v>
      </c>
      <c r="D11" s="10" t="s">
        <v>620</v>
      </c>
      <c r="E11" s="13" t="s">
        <v>636</v>
      </c>
      <c r="F11" s="10" t="s">
        <v>637</v>
      </c>
    </row>
    <row r="12" spans="1:6" x14ac:dyDescent="0.3">
      <c r="A12" s="10" t="s">
        <v>382</v>
      </c>
      <c r="B12" s="10" t="s">
        <v>111</v>
      </c>
      <c r="C12" s="10" t="s">
        <v>626</v>
      </c>
      <c r="D12" s="10" t="s">
        <v>623</v>
      </c>
      <c r="E12" s="13" t="s">
        <v>631</v>
      </c>
      <c r="F12" s="10" t="s">
        <v>625</v>
      </c>
    </row>
    <row r="13" spans="1:6" x14ac:dyDescent="0.3">
      <c r="A13" s="10" t="s">
        <v>407</v>
      </c>
      <c r="B13" s="10" t="s">
        <v>166</v>
      </c>
      <c r="C13" s="10" t="s">
        <v>616</v>
      </c>
      <c r="D13" s="10" t="s">
        <v>617</v>
      </c>
      <c r="E13" s="13" t="s">
        <v>638</v>
      </c>
      <c r="F13" s="10" t="s">
        <v>639</v>
      </c>
    </row>
    <row r="14" spans="1:6" ht="28.8" customHeight="1" x14ac:dyDescent="0.3">
      <c r="A14" s="10" t="s">
        <v>407</v>
      </c>
      <c r="B14" s="10" t="s">
        <v>166</v>
      </c>
      <c r="C14" s="10" t="s">
        <v>616</v>
      </c>
      <c r="D14" s="10" t="s">
        <v>617</v>
      </c>
      <c r="E14" s="13" t="s">
        <v>640</v>
      </c>
      <c r="F14" s="10" t="s">
        <v>641</v>
      </c>
    </row>
    <row r="15" spans="1:6" x14ac:dyDescent="0.3">
      <c r="A15" s="10" t="s">
        <v>407</v>
      </c>
      <c r="B15" s="10" t="s">
        <v>166</v>
      </c>
      <c r="C15" s="10" t="s">
        <v>616</v>
      </c>
      <c r="D15" s="10" t="s">
        <v>620</v>
      </c>
      <c r="E15" s="13" t="s">
        <v>642</v>
      </c>
      <c r="F15" s="10" t="s">
        <v>643</v>
      </c>
    </row>
    <row r="16" spans="1:6" ht="28.8" customHeight="1" x14ac:dyDescent="0.3">
      <c r="A16" s="10" t="s">
        <v>407</v>
      </c>
      <c r="B16" s="10" t="s">
        <v>166</v>
      </c>
      <c r="C16" s="10" t="s">
        <v>616</v>
      </c>
      <c r="D16" s="10" t="s">
        <v>623</v>
      </c>
      <c r="E16" s="13" t="s">
        <v>624</v>
      </c>
      <c r="F16" s="10" t="s">
        <v>625</v>
      </c>
    </row>
    <row r="17" spans="1:6" ht="28.8" customHeight="1" x14ac:dyDescent="0.3">
      <c r="A17" s="10" t="s">
        <v>407</v>
      </c>
      <c r="B17" s="10" t="s">
        <v>166</v>
      </c>
      <c r="C17" s="10" t="s">
        <v>626</v>
      </c>
      <c r="D17" s="10" t="s">
        <v>617</v>
      </c>
      <c r="E17" s="13" t="s">
        <v>644</v>
      </c>
      <c r="F17" s="10" t="s">
        <v>645</v>
      </c>
    </row>
    <row r="18" spans="1:6" ht="28.8" customHeight="1" x14ac:dyDescent="0.3">
      <c r="A18" s="10" t="s">
        <v>407</v>
      </c>
      <c r="B18" s="10" t="s">
        <v>166</v>
      </c>
      <c r="C18" s="10" t="s">
        <v>626</v>
      </c>
      <c r="D18" s="10" t="s">
        <v>620</v>
      </c>
      <c r="E18" s="13" t="s">
        <v>646</v>
      </c>
      <c r="F18" s="10" t="s">
        <v>647</v>
      </c>
    </row>
    <row r="19" spans="1:6" x14ac:dyDescent="0.3">
      <c r="A19" s="10" t="s">
        <v>407</v>
      </c>
      <c r="B19" s="10" t="s">
        <v>166</v>
      </c>
      <c r="C19" s="10" t="s">
        <v>626</v>
      </c>
      <c r="D19" s="10" t="s">
        <v>623</v>
      </c>
      <c r="E19" s="13" t="s">
        <v>631</v>
      </c>
      <c r="F19" s="10" t="s">
        <v>625</v>
      </c>
    </row>
    <row r="20" spans="1:6" x14ac:dyDescent="0.3">
      <c r="A20" s="10" t="s">
        <v>427</v>
      </c>
      <c r="B20" s="10" t="s">
        <v>209</v>
      </c>
      <c r="C20" s="10" t="s">
        <v>616</v>
      </c>
      <c r="D20" s="10" t="s">
        <v>617</v>
      </c>
      <c r="E20" s="13" t="s">
        <v>648</v>
      </c>
      <c r="F20" s="10" t="s">
        <v>649</v>
      </c>
    </row>
    <row r="21" spans="1:6" x14ac:dyDescent="0.3">
      <c r="A21" s="10" t="s">
        <v>427</v>
      </c>
      <c r="B21" s="10" t="s">
        <v>209</v>
      </c>
      <c r="C21" s="10" t="s">
        <v>616</v>
      </c>
      <c r="D21" s="10" t="s">
        <v>620</v>
      </c>
      <c r="E21" s="13" t="s">
        <v>650</v>
      </c>
      <c r="F21" s="10" t="s">
        <v>651</v>
      </c>
    </row>
    <row r="22" spans="1:6" ht="28.8" customHeight="1" x14ac:dyDescent="0.3">
      <c r="A22" s="10" t="s">
        <v>427</v>
      </c>
      <c r="B22" s="10" t="s">
        <v>209</v>
      </c>
      <c r="C22" s="10" t="s">
        <v>616</v>
      </c>
      <c r="D22" s="10" t="s">
        <v>623</v>
      </c>
      <c r="E22" s="13" t="s">
        <v>624</v>
      </c>
      <c r="F22" s="10" t="s">
        <v>625</v>
      </c>
    </row>
    <row r="23" spans="1:6" ht="28.8" customHeight="1" x14ac:dyDescent="0.3">
      <c r="A23" s="10" t="s">
        <v>427</v>
      </c>
      <c r="B23" s="10" t="s">
        <v>209</v>
      </c>
      <c r="C23" s="10" t="s">
        <v>626</v>
      </c>
      <c r="D23" s="10" t="s">
        <v>620</v>
      </c>
      <c r="E23" s="13" t="s">
        <v>652</v>
      </c>
      <c r="F23" s="10" t="s">
        <v>653</v>
      </c>
    </row>
    <row r="24" spans="1:6" x14ac:dyDescent="0.3">
      <c r="A24" s="10" t="s">
        <v>427</v>
      </c>
      <c r="B24" s="10" t="s">
        <v>209</v>
      </c>
      <c r="C24" s="10" t="s">
        <v>626</v>
      </c>
      <c r="D24" s="10" t="s">
        <v>623</v>
      </c>
      <c r="E24" s="13" t="s">
        <v>631</v>
      </c>
      <c r="F24" s="10" t="s">
        <v>625</v>
      </c>
    </row>
    <row r="25" spans="1:6" x14ac:dyDescent="0.3">
      <c r="A25" s="10" t="s">
        <v>461</v>
      </c>
      <c r="B25" s="10" t="s">
        <v>283</v>
      </c>
      <c r="C25" s="10" t="s">
        <v>616</v>
      </c>
      <c r="D25" s="10" t="s">
        <v>617</v>
      </c>
      <c r="E25" s="13" t="s">
        <v>654</v>
      </c>
      <c r="F25" s="10" t="s">
        <v>655</v>
      </c>
    </row>
    <row r="26" spans="1:6" ht="28.8" customHeight="1" x14ac:dyDescent="0.3">
      <c r="A26" s="10" t="s">
        <v>461</v>
      </c>
      <c r="B26" s="10" t="s">
        <v>283</v>
      </c>
      <c r="C26" s="10" t="s">
        <v>626</v>
      </c>
      <c r="D26" s="10" t="s">
        <v>617</v>
      </c>
      <c r="E26" s="13" t="s">
        <v>656</v>
      </c>
      <c r="F26" s="10" t="s">
        <v>657</v>
      </c>
    </row>
    <row r="27" spans="1:6" ht="28.8" customHeight="1" x14ac:dyDescent="0.3">
      <c r="A27" s="10" t="s">
        <v>461</v>
      </c>
      <c r="B27" s="10" t="s">
        <v>283</v>
      </c>
      <c r="C27" s="10" t="s">
        <v>626</v>
      </c>
      <c r="D27" s="10" t="s">
        <v>620</v>
      </c>
      <c r="E27" s="13" t="s">
        <v>658</v>
      </c>
      <c r="F27" s="10" t="s">
        <v>659</v>
      </c>
    </row>
    <row r="28" spans="1:6" x14ac:dyDescent="0.3">
      <c r="A28" s="10" t="s">
        <v>461</v>
      </c>
      <c r="B28" s="10" t="s">
        <v>283</v>
      </c>
      <c r="C28" s="10" t="s">
        <v>626</v>
      </c>
      <c r="D28" s="10" t="s">
        <v>623</v>
      </c>
      <c r="E28" s="13" t="s">
        <v>631</v>
      </c>
      <c r="F28" s="10" t="s">
        <v>625</v>
      </c>
    </row>
    <row r="29" spans="1:6" ht="28.8" customHeight="1" x14ac:dyDescent="0.3">
      <c r="A29" s="10" t="s">
        <v>461</v>
      </c>
      <c r="B29" s="10" t="s">
        <v>283</v>
      </c>
      <c r="C29" s="10" t="s">
        <v>626</v>
      </c>
      <c r="D29" s="10" t="s">
        <v>660</v>
      </c>
      <c r="E29" s="13" t="s">
        <v>661</v>
      </c>
      <c r="F29" s="10" t="s">
        <v>662</v>
      </c>
    </row>
    <row r="30" spans="1:6" x14ac:dyDescent="0.3">
      <c r="A30" s="10" t="s">
        <v>466</v>
      </c>
      <c r="B30" s="10" t="s">
        <v>291</v>
      </c>
      <c r="C30" s="10" t="s">
        <v>616</v>
      </c>
      <c r="D30" s="10" t="s">
        <v>617</v>
      </c>
      <c r="E30" s="13" t="s">
        <v>663</v>
      </c>
      <c r="F30" s="10" t="s">
        <v>664</v>
      </c>
    </row>
    <row r="31" spans="1:6" x14ac:dyDescent="0.3">
      <c r="A31" s="10" t="s">
        <v>466</v>
      </c>
      <c r="B31" s="10" t="s">
        <v>291</v>
      </c>
      <c r="C31" s="10" t="s">
        <v>616</v>
      </c>
      <c r="D31" s="10" t="s">
        <v>620</v>
      </c>
      <c r="E31" s="13" t="s">
        <v>665</v>
      </c>
      <c r="F31" s="10" t="s">
        <v>666</v>
      </c>
    </row>
    <row r="32" spans="1:6" ht="28.8" customHeight="1" x14ac:dyDescent="0.3">
      <c r="A32" s="10" t="s">
        <v>466</v>
      </c>
      <c r="B32" s="10" t="s">
        <v>291</v>
      </c>
      <c r="C32" s="10" t="s">
        <v>616</v>
      </c>
      <c r="D32" s="10" t="s">
        <v>623</v>
      </c>
      <c r="E32" s="13" t="s">
        <v>624</v>
      </c>
      <c r="F32" s="10" t="s">
        <v>625</v>
      </c>
    </row>
    <row r="33" spans="1:6" ht="28.8" customHeight="1" x14ac:dyDescent="0.3">
      <c r="A33" s="10" t="s">
        <v>466</v>
      </c>
      <c r="B33" s="10" t="s">
        <v>291</v>
      </c>
      <c r="C33" s="10" t="s">
        <v>626</v>
      </c>
      <c r="D33" s="10" t="s">
        <v>617</v>
      </c>
      <c r="E33" s="13" t="s">
        <v>667</v>
      </c>
      <c r="F33" s="10" t="s">
        <v>668</v>
      </c>
    </row>
    <row r="34" spans="1:6" ht="28.8" customHeight="1" x14ac:dyDescent="0.3">
      <c r="A34" s="10" t="s">
        <v>466</v>
      </c>
      <c r="B34" s="10" t="s">
        <v>291</v>
      </c>
      <c r="C34" s="10" t="s">
        <v>626</v>
      </c>
      <c r="D34" s="10" t="s">
        <v>620</v>
      </c>
      <c r="E34" s="13" t="s">
        <v>669</v>
      </c>
      <c r="F34" s="10" t="s">
        <v>670</v>
      </c>
    </row>
    <row r="35" spans="1:6" x14ac:dyDescent="0.3">
      <c r="A35" s="10" t="s">
        <v>466</v>
      </c>
      <c r="B35" s="10" t="s">
        <v>291</v>
      </c>
      <c r="C35" s="10" t="s">
        <v>626</v>
      </c>
      <c r="D35" s="10" t="s">
        <v>623</v>
      </c>
      <c r="E35" s="13" t="s">
        <v>631</v>
      </c>
      <c r="F35" s="10" t="s">
        <v>625</v>
      </c>
    </row>
    <row r="37" spans="1:6" x14ac:dyDescent="0.3">
      <c r="A37" s="8" t="s">
        <v>671</v>
      </c>
    </row>
  </sheetData>
  <hyperlinks>
    <hyperlink ref="E2" r:id="rId1" xr:uid="{00000000-0004-0000-0600-000000000000}"/>
    <hyperlink ref="E3" r:id="rId2" xr:uid="{00000000-0004-0000-0600-000001000000}"/>
    <hyperlink ref="E4" r:id="rId3" xr:uid="{00000000-0004-0000-0600-000002000000}"/>
    <hyperlink ref="E5" r:id="rId4" xr:uid="{00000000-0004-0000-0600-000003000000}"/>
    <hyperlink ref="E6" r:id="rId5" xr:uid="{00000000-0004-0000-0600-000004000000}"/>
    <hyperlink ref="E7" r:id="rId6" xr:uid="{00000000-0004-0000-0600-000005000000}"/>
    <hyperlink ref="E8" r:id="rId7" xr:uid="{00000000-0004-0000-0600-000006000000}"/>
    <hyperlink ref="E9" r:id="rId8" xr:uid="{00000000-0004-0000-0600-000007000000}"/>
    <hyperlink ref="E10" r:id="rId9" xr:uid="{00000000-0004-0000-0600-000008000000}"/>
    <hyperlink ref="E11" r:id="rId10" xr:uid="{00000000-0004-0000-0600-000009000000}"/>
    <hyperlink ref="E12" r:id="rId11" xr:uid="{00000000-0004-0000-0600-00000A000000}"/>
    <hyperlink ref="E13" r:id="rId12" xr:uid="{00000000-0004-0000-0600-00000B000000}"/>
    <hyperlink ref="E14" r:id="rId13" xr:uid="{00000000-0004-0000-0600-00000C000000}"/>
    <hyperlink ref="E15" r:id="rId14" xr:uid="{00000000-0004-0000-0600-00000D000000}"/>
    <hyperlink ref="E16" r:id="rId15" xr:uid="{00000000-0004-0000-0600-00000E000000}"/>
    <hyperlink ref="E17" r:id="rId16" xr:uid="{00000000-0004-0000-0600-00000F000000}"/>
    <hyperlink ref="E18" r:id="rId17" xr:uid="{00000000-0004-0000-0600-000010000000}"/>
    <hyperlink ref="E19" r:id="rId18" xr:uid="{00000000-0004-0000-0600-000011000000}"/>
    <hyperlink ref="E20" r:id="rId19" xr:uid="{00000000-0004-0000-0600-000012000000}"/>
    <hyperlink ref="E21" r:id="rId20" xr:uid="{00000000-0004-0000-0600-000013000000}"/>
    <hyperlink ref="E22" r:id="rId21" xr:uid="{00000000-0004-0000-0600-000014000000}"/>
    <hyperlink ref="E23" r:id="rId22" xr:uid="{00000000-0004-0000-0600-000015000000}"/>
    <hyperlink ref="E24" r:id="rId23" xr:uid="{00000000-0004-0000-0600-000016000000}"/>
    <hyperlink ref="E25" r:id="rId24" xr:uid="{00000000-0004-0000-0600-000017000000}"/>
    <hyperlink ref="E26" r:id="rId25" xr:uid="{00000000-0004-0000-0600-000018000000}"/>
    <hyperlink ref="E27" r:id="rId26" xr:uid="{00000000-0004-0000-0600-000019000000}"/>
    <hyperlink ref="E28" r:id="rId27" xr:uid="{00000000-0004-0000-0600-00001A000000}"/>
    <hyperlink ref="E29" r:id="rId28" xr:uid="{00000000-0004-0000-0600-00001B000000}"/>
    <hyperlink ref="E30" r:id="rId29" xr:uid="{00000000-0004-0000-0600-00001C000000}"/>
    <hyperlink ref="E31" r:id="rId30" xr:uid="{00000000-0004-0000-0600-00001D000000}"/>
    <hyperlink ref="E32" r:id="rId31" xr:uid="{00000000-0004-0000-0600-00001E000000}"/>
    <hyperlink ref="E33" r:id="rId32" xr:uid="{00000000-0004-0000-0600-00001F000000}"/>
    <hyperlink ref="E34" r:id="rId33" xr:uid="{00000000-0004-0000-0600-000020000000}"/>
    <hyperlink ref="E35" r:id="rId34" xr:uid="{00000000-0004-0000-0600-000021000000}"/>
  </hyperlinks>
  <pageMargins left="0.75" right="0.75" top="1" bottom="1" header="0.5" footer="0.5"/>
  <tableParts count="1">
    <tablePart r:id="rId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RTM Final</vt:lpstr>
      <vt:lpstr>Log de Ejecución</vt:lpstr>
      <vt:lpstr>Resumen de Ejecución</vt:lpstr>
      <vt:lpstr>TSR</vt:lpstr>
      <vt:lpstr>Bug Tracker</vt:lpstr>
      <vt:lpstr>Fichas de Defectos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1710196 - DENNIS ALFREDO CORNEL SOSA</cp:lastModifiedBy>
  <dcterms:created xsi:type="dcterms:W3CDTF">2026-10-20T19:00:45Z</dcterms:created>
  <dcterms:modified xsi:type="dcterms:W3CDTF">2026-10-20T20:29:30Z</dcterms:modified>
</cp:coreProperties>
</file>